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icing Summary" sheetId="2" state="visible" r:id="rId2"/>
    <sheet xmlns:r="http://schemas.openxmlformats.org/officeDocument/2006/relationships" name="Usage Inputs" sheetId="3" state="visible" r:id="rId3"/>
    <sheet xmlns:r="http://schemas.openxmlformats.org/officeDocument/2006/relationships" name="Expense Estimator" sheetId="4" state="visible" r:id="rId4"/>
    <sheet xmlns:r="http://schemas.openxmlformats.org/officeDocument/2006/relationships" name="Source Pricing" sheetId="5" state="visible" r:id="rId5"/>
    <sheet xmlns:r="http://schemas.openxmlformats.org/officeDocument/2006/relationships" name="Checks" sheetId="6" state="visible" r:id="rId6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#,##0;[Red](#,##0);-"/>
    <numFmt numFmtId="165" formatCode="#,##0.00;[Red](#,##0.00);-"/>
    <numFmt numFmtId="166" formatCode="INR #,##0.0000;[Red](INR #,##0.0000);-"/>
    <numFmt numFmtId="167" formatCode="INR #,##0.00;[Red](INR #,##0.00);-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24D"/>
    </font>
    <font>
      <b val="1"/>
      <color rgb="00FFFFFF"/>
      <sz val="11"/>
    </font>
    <font>
      <b val="1"/>
      <color rgb="0017324D"/>
      <sz val="16"/>
    </font>
    <font>
      <b val="1"/>
      <color rgb="0017324D"/>
    </font>
    <font>
      <color rgb="001F2933"/>
      <sz val="10"/>
    </font>
    <font>
      <color rgb="000000FF"/>
    </font>
    <font>
      <color rgb="00000000"/>
    </font>
    <font>
      <b val="1"/>
      <color rgb="0017324D"/>
      <sz val="14"/>
    </font>
    <font>
      <b val="1"/>
      <color rgb="009C5700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3F5"/>
      </patternFill>
    </fill>
    <fill>
      <patternFill patternType="solid">
        <fgColor rgb="00275D70"/>
      </patternFill>
    </fill>
    <fill>
      <patternFill patternType="solid">
        <fgColor rgb="00D9E9E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E6"/>
      </left>
      <right style="thin">
        <color rgb="00D9E2E6"/>
      </right>
      <top style="thin">
        <color rgb="00D9E2E6"/>
      </top>
      <bottom style="thin">
        <color rgb="00D9E2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7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/>
    </xf>
    <xf numFmtId="166" fontId="8" fillId="0" borderId="1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167" fontId="9" fillId="3" borderId="0" applyAlignment="1" pivotButton="0" quotePrefix="0" xfId="0">
      <alignment vertical="center"/>
    </xf>
    <xf numFmtId="0" fontId="10" fillId="7" borderId="0" applyAlignment="1" pivotButton="0" quotePrefix="0" xfId="0">
      <alignment vertical="center" wrapText="1"/>
    </xf>
    <xf numFmtId="0" fontId="11" fillId="8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opRawPrices" displayName="TopRawPrices" ref="A24:E32" headerRowCount="1">
  <autoFilter ref="A24:E32"/>
  <tableColumns count="5">
    <tableColumn id="1" name="Service"/>
    <tableColumn id="2" name="SKU description"/>
    <tableColumn id="3" name="Unit"/>
    <tableColumn id="4" name="Tier start"/>
    <tableColumn id="5" name="List price (INR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rviceSummary" displayName="ServiceSummary" ref="A4:J16" headerRowCount="1">
  <autoFilter ref="A4:J16"/>
  <tableColumns count="10">
    <tableColumn id="1" name="Service"/>
    <tableColumn id="2" name="Unique SKUs"/>
    <tableColumn id="3" name="Pricing rows"/>
    <tableColumn id="4" name="Chargeable rows"/>
    <tableColumn id="5" name="Free/zero rows"/>
    <tableColumn id="6" name="Default rows"/>
    <tableColumn id="7" name="CUD rows"/>
    <tableColumn id="8" name="Max raw list price (INR)"/>
    <tableColumn id="9" name="Cost categories"/>
    <tableColumn id="10" name="Uni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tegorySummary" displayName="CategorySummary" ref="A20:F26" headerRowCount="1">
  <autoFilter ref="A20:F26"/>
  <tableColumns count="6">
    <tableColumn id="1" name="Category"/>
    <tableColumn id="2" name="Rows"/>
    <tableColumn id="3" name="Chargeable rows"/>
    <tableColumn id="4" name="Free/zero rows"/>
    <tableColumn id="5" name="Max normalized rate"/>
    <tableColumn id="6" name="Normalized 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sageInputs" displayName="UsageInputs" ref="A4:I50" headerRowCount="1">
  <autoFilter ref="A4:I50"/>
  <tableColumns count="9">
    <tableColumn id="1" name="Service"/>
    <tableColumn id="2" name="SKU ID"/>
    <tableColumn id="3" name="SKU description"/>
    <tableColumn id="4" name="Category"/>
    <tableColumn id="5" name="Usage unit"/>
    <tableColumn id="6" name="Per unit quantity"/>
    <tableColumn id="7" name="Monthly usage input"/>
    <tableColumn id="8" name="Input notes"/>
    <tableColumn id="9" name="Pricing mod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penseEstimator" displayName="ExpenseEstimator" ref="A4:M81" headerRowCount="1">
  <autoFilter ref="A4:M81"/>
  <tableColumns count="13">
    <tableColumn id="1" name="Service"/>
    <tableColumn id="2" name="SKU ID"/>
    <tableColumn id="3" name="SKU description"/>
    <tableColumn id="4" name="Category"/>
    <tableColumn id="5" name="Unit"/>
    <tableColumn id="6" name="Per unit quantity"/>
    <tableColumn id="7" name="Tier start"/>
    <tableColumn id="8" name="Next tier start"/>
    <tableColumn id="9" name="List price (INR)"/>
    <tableColumn id="10" name="Usage"/>
    <tableColumn id="11" name="Billable quantity in tier"/>
    <tableColumn id="12" name="Estimated monthly cost"/>
    <tableColumn id="1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Pricing" displayName="SourcePricing" ref="A4:N113" headerRowCount="1">
  <autoFilter ref="A4:N113"/>
  <tableColumns count="14">
    <tableColumn id="1" name="Google service"/>
    <tableColumn id="2" name="Service description"/>
    <tableColumn id="3" name="Service ID"/>
    <tableColumn id="4" name="SKU ID"/>
    <tableColumn id="5" name="SKU description"/>
    <tableColumn id="6" name="Consumption model description"/>
    <tableColumn id="7" name="Product taxonomy"/>
    <tableColumn id="8" name="Unit description"/>
    <tableColumn id="9" name="Per unit quantity"/>
    <tableColumn id="10" name="Tiered usage start"/>
    <tableColumn id="11" name="List price (INR)"/>
    <tableColumn id="12" name="Category"/>
    <tableColumn id="13" name="Normalized rate"/>
    <tableColumn id="14" name="Normalized un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WorkbookChecks" displayName="WorkbookChecks" ref="A3:E7" headerRowCount="1">
  <autoFilter ref="A3:E7"/>
  <tableColumns count="5">
    <tableColumn id="1" name="Check"/>
    <tableColumn id="2" name="Actual"/>
    <tableColumn id="3" name="Expected"/>
    <tableColumn id="4" name="OK?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2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GCP Pricing Cost Analysis</t>
        </is>
      </c>
    </row>
    <row r="2" ht="32" customHeight="1">
      <c r="A2" s="2" t="inlineStr">
        <is>
          <t>Source: Pricing for Billing Account 1.numbers. The source contains pricing rows only; enter usage on the Usage Inputs sheet to estimate actual expense.</t>
        </is>
      </c>
    </row>
    <row r="3"/>
    <row r="4">
      <c r="A4" s="3" t="inlineStr">
        <is>
          <t>Pricing rows</t>
        </is>
      </c>
      <c r="B4" s="4" t="n"/>
      <c r="C4" s="4" t="n"/>
      <c r="E4" s="3" t="inlineStr">
        <is>
          <t>Unique services</t>
        </is>
      </c>
      <c r="F4" s="4" t="n"/>
      <c r="G4" s="4" t="n"/>
    </row>
    <row r="5">
      <c r="A5" s="5" t="n">
        <v>109</v>
      </c>
      <c r="B5" s="6" t="n"/>
      <c r="C5" s="6" t="n"/>
      <c r="E5" s="5" t="n">
        <v>12</v>
      </c>
      <c r="F5" s="6" t="n"/>
      <c r="G5" s="6" t="n"/>
    </row>
    <row r="6">
      <c r="A6" s="6" t="n"/>
      <c r="B6" s="6" t="n"/>
      <c r="C6" s="6" t="n"/>
      <c r="E6" s="6" t="n"/>
      <c r="F6" s="6" t="n"/>
      <c r="G6" s="6" t="n"/>
    </row>
    <row r="7">
      <c r="A7" s="3" t="inlineStr">
        <is>
          <t>Unique SKUs</t>
        </is>
      </c>
      <c r="B7" s="4" t="n"/>
      <c r="C7" s="4" t="n"/>
      <c r="E7" s="3" t="inlineStr">
        <is>
          <t>Chargeable rows</t>
        </is>
      </c>
      <c r="F7" s="4" t="n"/>
      <c r="G7" s="4" t="n"/>
    </row>
    <row r="8">
      <c r="A8" s="5" t="n">
        <v>46</v>
      </c>
      <c r="B8" s="6" t="n"/>
      <c r="C8" s="6" t="n"/>
      <c r="E8" s="5" t="n">
        <v>80</v>
      </c>
      <c r="F8" s="6" t="n"/>
      <c r="G8" s="6" t="n"/>
    </row>
    <row r="9">
      <c r="A9" s="6" t="n"/>
      <c r="B9" s="6" t="n"/>
      <c r="C9" s="6" t="n"/>
      <c r="E9" s="6" t="n"/>
      <c r="F9" s="6" t="n"/>
      <c r="G9" s="6" t="n"/>
    </row>
    <row r="10">
      <c r="A10" s="3" t="inlineStr">
        <is>
          <t>Free/zero rows</t>
        </is>
      </c>
      <c r="B10" s="4" t="n"/>
      <c r="C10" s="4" t="n"/>
      <c r="E10" s="3" t="inlineStr">
        <is>
          <t>CUD rows</t>
        </is>
      </c>
      <c r="F10" s="4" t="n"/>
      <c r="G10" s="4" t="n"/>
    </row>
    <row r="11">
      <c r="A11" s="5" t="n">
        <v>29</v>
      </c>
      <c r="B11" s="6" t="n"/>
      <c r="C11" s="6" t="n"/>
      <c r="E11" s="5" t="n">
        <v>32</v>
      </c>
      <c r="F11" s="6" t="n"/>
      <c r="G11" s="6" t="n"/>
    </row>
    <row r="12">
      <c r="A12" s="6" t="n"/>
      <c r="B12" s="6" t="n"/>
      <c r="C12" s="6" t="n"/>
      <c r="E12" s="6" t="n"/>
      <c r="F12" s="6" t="n"/>
      <c r="G12" s="6" t="n"/>
    </row>
    <row r="13"/>
    <row r="14">
      <c r="A14" s="7" t="inlineStr">
        <is>
          <t>Key findings</t>
        </is>
      </c>
    </row>
    <row r="15" ht="30" customHeight="1">
      <c r="A15" s="8" t="inlineStr">
        <is>
          <t>This is a pricing catalog, not an invoice or billing export. Actual expense requires monthly usage quantities.</t>
        </is>
      </c>
    </row>
    <row r="16" ht="30" customHeight="1">
      <c r="A16" s="8" t="inlineStr">
        <is>
          <t>Network egress is the main usage-sensitive risk: Cloud Run, Cloud Storage, Artifact Registry, and Cloud Build include egress SKUs up to INR 17.9645 per GiB.</t>
        </is>
      </c>
    </row>
    <row r="17" ht="30" customHeight="1">
      <c r="A17" s="8" t="inlineStr">
        <is>
          <t>Cloud Logging becomes material after the 50 GiB free tier at INR 47.275 per GiB.</t>
        </is>
      </c>
    </row>
    <row r="18" ht="30" customHeight="1">
      <c r="A18" s="8" t="inlineStr">
        <is>
          <t>Cloud Run has many CUD rows; request charges show about 17.0% lower rates under listed CUD models versus default.</t>
        </is>
      </c>
    </row>
    <row r="19" ht="30" customHeight="1">
      <c r="A19" s="8" t="inlineStr">
        <is>
          <t>Fixed domain registration is INR 1,134.60 yearly per .com, approximately INR 94.55 per month.</t>
        </is>
      </c>
    </row>
    <row r="20" ht="30" customHeight="1">
      <c r="A20" s="8" t="inlineStr">
        <is>
          <t>Use the Expense Estimator sheet for tier-aware estimates from entered usage volumes.</t>
        </is>
      </c>
    </row>
    <row r="21"/>
    <row r="22"/>
    <row r="23">
      <c r="A23" s="7" t="inlineStr">
        <is>
          <t>Top raw list-price rows</t>
        </is>
      </c>
    </row>
    <row r="24">
      <c r="A24" s="9" t="inlineStr">
        <is>
          <t>Service</t>
        </is>
      </c>
      <c r="B24" s="9" t="inlineStr">
        <is>
          <t>SKU description</t>
        </is>
      </c>
      <c r="C24" s="9" t="inlineStr">
        <is>
          <t>Unit</t>
        </is>
      </c>
      <c r="D24" s="9" t="inlineStr">
        <is>
          <t>Tier start</t>
        </is>
      </c>
      <c r="E24" s="9" t="inlineStr">
        <is>
          <t>List price (INR)</t>
        </is>
      </c>
    </row>
    <row r="25">
      <c r="A25" s="10" t="inlineStr">
        <is>
          <t>Cloud Pub/Sub</t>
        </is>
      </c>
      <c r="B25" s="10" t="inlineStr">
        <is>
          <t>Message Delivery Basic</t>
        </is>
      </c>
      <c r="C25" s="10" t="inlineStr">
        <is>
          <t>tebibyte</t>
        </is>
      </c>
      <c r="D25" s="11" t="n">
        <v>0.009765625</v>
      </c>
      <c r="E25" s="12" t="n">
        <v>3782.000000161</v>
      </c>
    </row>
    <row r="26">
      <c r="A26" s="10" t="inlineStr">
        <is>
          <t>Cloud Domains</t>
        </is>
      </c>
      <c r="B26" s="10" t="inlineStr">
        <is>
          <t>Subscription for domain with TLD .com - yearly prepay</t>
        </is>
      </c>
      <c r="C26" s="10" t="inlineStr">
        <is>
          <t>year</t>
        </is>
      </c>
      <c r="D26" s="11" t="n">
        <v>0</v>
      </c>
      <c r="E26" s="12" t="n">
        <v>1134.600000048</v>
      </c>
    </row>
    <row r="27">
      <c r="A27" s="10" t="inlineStr">
        <is>
          <t>Cloud Logging</t>
        </is>
      </c>
      <c r="B27" s="10" t="inlineStr">
        <is>
          <t>Log Storage cost</t>
        </is>
      </c>
      <c r="C27" s="10" t="inlineStr">
        <is>
          <t>gibibyte</t>
        </is>
      </c>
      <c r="D27" s="11" t="n">
        <v>50</v>
      </c>
      <c r="E27" s="12" t="n">
        <v>47.275000002</v>
      </c>
    </row>
    <row r="28">
      <c r="A28" s="10" t="inlineStr">
        <is>
          <t>Cloud DNS</t>
        </is>
      </c>
      <c r="B28" s="10" t="inlineStr">
        <is>
          <t>DNS Query (port 53)</t>
        </is>
      </c>
      <c r="C28" s="10" t="inlineStr">
        <is>
          <t>count</t>
        </is>
      </c>
      <c r="D28" s="11" t="n">
        <v>0</v>
      </c>
      <c r="E28" s="12" t="n">
        <v>37.820000001</v>
      </c>
    </row>
    <row r="29">
      <c r="A29" s="10" t="inlineStr">
        <is>
          <t>Cloud Tasks</t>
        </is>
      </c>
      <c r="B29" s="10" t="inlineStr">
        <is>
          <t>Operations</t>
        </is>
      </c>
      <c r="C29" s="10" t="inlineStr">
        <is>
          <t>count</t>
        </is>
      </c>
      <c r="D29" s="11" t="n">
        <v>1000000</v>
      </c>
      <c r="E29" s="12" t="n">
        <v>37.820000001</v>
      </c>
    </row>
    <row r="30">
      <c r="A30" s="10" t="inlineStr">
        <is>
          <t>Cloud Run</t>
        </is>
      </c>
      <c r="B30" s="10" t="inlineStr">
        <is>
          <t>Requests</t>
        </is>
      </c>
      <c r="C30" s="10" t="inlineStr">
        <is>
          <t>count</t>
        </is>
      </c>
      <c r="D30" s="11" t="n">
        <v>2000000</v>
      </c>
      <c r="E30" s="12" t="n">
        <v>37.820000001</v>
      </c>
    </row>
    <row r="31">
      <c r="A31" s="10" t="inlineStr">
        <is>
          <t>Cloud Run</t>
        </is>
      </c>
      <c r="B31" s="10" t="inlineStr">
        <is>
          <t>Requests</t>
        </is>
      </c>
      <c r="C31" s="10" t="inlineStr">
        <is>
          <t>count</t>
        </is>
      </c>
      <c r="D31" s="11" t="n">
        <v>2000000</v>
      </c>
      <c r="E31" s="12" t="n">
        <v>31.390600001</v>
      </c>
    </row>
    <row r="32">
      <c r="A32" s="10" t="inlineStr">
        <is>
          <t>Cloud Run</t>
        </is>
      </c>
      <c r="B32" s="10" t="inlineStr">
        <is>
          <t>Requests</t>
        </is>
      </c>
      <c r="C32" s="10" t="inlineStr">
        <is>
          <t>count</t>
        </is>
      </c>
      <c r="D32" s="11" t="n">
        <v>2000000</v>
      </c>
      <c r="E32" s="12" t="n">
        <v>31.390600001</v>
      </c>
    </row>
  </sheetData>
  <mergeCells count="22">
    <mergeCell ref="A16:F16"/>
    <mergeCell ref="E10:G10"/>
    <mergeCell ref="A18:F18"/>
    <mergeCell ref="A2:F2"/>
    <mergeCell ref="A11:C12"/>
    <mergeCell ref="A14:F14"/>
    <mergeCell ref="E5:G6"/>
    <mergeCell ref="A23:F23"/>
    <mergeCell ref="E8:G9"/>
    <mergeCell ref="A17:F17"/>
    <mergeCell ref="A20:F20"/>
    <mergeCell ref="A4:C4"/>
    <mergeCell ref="E7:G7"/>
    <mergeCell ref="A10:C10"/>
    <mergeCell ref="A19:F19"/>
    <mergeCell ref="A15:F15"/>
    <mergeCell ref="E11:G12"/>
    <mergeCell ref="A5:C6"/>
    <mergeCell ref="A1:F1"/>
    <mergeCell ref="A8:C9"/>
    <mergeCell ref="E4:G4"/>
    <mergeCell ref="A7:C7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  <col width="14" customWidth="1" min="5" max="5"/>
    <col width="12" customWidth="1" min="6" max="6"/>
    <col width="10" customWidth="1" min="7" max="7"/>
    <col width="18" customWidth="1" min="8" max="8"/>
    <col width="28" customWidth="1" min="9" max="9"/>
    <col width="28" customWidth="1" min="10" max="10"/>
  </cols>
  <sheetData>
    <row r="1" ht="28" customHeight="1">
      <c r="A1" s="1" t="inlineStr">
        <is>
          <t>Pricing Summary</t>
        </is>
      </c>
    </row>
    <row r="2" ht="32" customHeight="1">
      <c r="A2" s="2" t="inlineStr">
        <is>
          <t>Service and cost-category summary derived from the source pricing catalog.</t>
        </is>
      </c>
    </row>
    <row r="3"/>
    <row r="4">
      <c r="A4" s="9" t="inlineStr">
        <is>
          <t>Service</t>
        </is>
      </c>
      <c r="B4" s="9" t="inlineStr">
        <is>
          <t>Unique SKUs</t>
        </is>
      </c>
      <c r="C4" s="9" t="inlineStr">
        <is>
          <t>Pricing rows</t>
        </is>
      </c>
      <c r="D4" s="9" t="inlineStr">
        <is>
          <t>Chargeable rows</t>
        </is>
      </c>
      <c r="E4" s="9" t="inlineStr">
        <is>
          <t>Free/zero rows</t>
        </is>
      </c>
      <c r="F4" s="9" t="inlineStr">
        <is>
          <t>Default rows</t>
        </is>
      </c>
      <c r="G4" s="9" t="inlineStr">
        <is>
          <t>CUD rows</t>
        </is>
      </c>
      <c r="H4" s="9" t="inlineStr">
        <is>
          <t>Max raw list price (INR)</t>
        </is>
      </c>
      <c r="I4" s="9" t="inlineStr">
        <is>
          <t>Cost categories</t>
        </is>
      </c>
      <c r="J4" s="9" t="inlineStr">
        <is>
          <t>Units</t>
        </is>
      </c>
    </row>
    <row r="5">
      <c r="A5" s="10" t="inlineStr">
        <is>
          <t>Cloud Run</t>
        </is>
      </c>
      <c r="B5" s="13" t="n">
        <v>15</v>
      </c>
      <c r="C5" s="13" t="n">
        <v>57</v>
      </c>
      <c r="D5" s="13" t="n">
        <v>47</v>
      </c>
      <c r="E5" s="13" t="n">
        <v>10</v>
      </c>
      <c r="F5" s="13" t="n">
        <v>25</v>
      </c>
      <c r="G5" s="13" t="n">
        <v>32</v>
      </c>
      <c r="H5" s="12" t="n">
        <v>37.820000001</v>
      </c>
      <c r="I5" s="10" t="inlineStr">
        <is>
          <t>Compute time, Network / egress, Requests / operations</t>
        </is>
      </c>
      <c r="J5" s="10" t="inlineStr">
        <is>
          <t>count, gibibyte, gibibyte second, second</t>
        </is>
      </c>
    </row>
    <row r="6">
      <c r="A6" s="10" t="inlineStr">
        <is>
          <t>Cloud Storage</t>
        </is>
      </c>
      <c r="B6" s="13" t="n">
        <v>10</v>
      </c>
      <c r="C6" s="13" t="n">
        <v>16</v>
      </c>
      <c r="D6" s="13" t="n">
        <v>12</v>
      </c>
      <c r="E6" s="13" t="n">
        <v>4</v>
      </c>
      <c r="F6" s="13" t="n">
        <v>16</v>
      </c>
      <c r="G6" s="13" t="n">
        <v>0</v>
      </c>
      <c r="H6" s="12" t="n">
        <v>11.346</v>
      </c>
      <c r="I6" s="10" t="inlineStr">
        <is>
          <t>Network / egress, Storage / retention</t>
        </is>
      </c>
      <c r="J6" s="10" t="inlineStr">
        <is>
          <t>count, gibibyte, gibibyte month</t>
        </is>
      </c>
    </row>
    <row r="7">
      <c r="A7" s="10" t="inlineStr">
        <is>
          <t>Artifact Registry</t>
        </is>
      </c>
      <c r="B7" s="13" t="n">
        <v>5</v>
      </c>
      <c r="C7" s="13" t="n">
        <v>8</v>
      </c>
      <c r="D7" s="13" t="n">
        <v>5</v>
      </c>
      <c r="E7" s="13" t="n">
        <v>3</v>
      </c>
      <c r="F7" s="13" t="n">
        <v>8</v>
      </c>
      <c r="G7" s="13" t="n">
        <v>0</v>
      </c>
      <c r="H7" s="12" t="n">
        <v>11.346</v>
      </c>
      <c r="I7" s="10" t="inlineStr">
        <is>
          <t>Network / egress, Storage / retention</t>
        </is>
      </c>
      <c r="J7" s="10" t="inlineStr">
        <is>
          <t>gibibyte, gibibyte month</t>
        </is>
      </c>
    </row>
    <row r="8">
      <c r="A8" s="10" t="inlineStr">
        <is>
          <t>Cloud DNS</t>
        </is>
      </c>
      <c r="B8" s="13" t="n">
        <v>2</v>
      </c>
      <c r="C8" s="13" t="n">
        <v>5</v>
      </c>
      <c r="D8" s="13" t="n">
        <v>5</v>
      </c>
      <c r="E8" s="13" t="n">
        <v>0</v>
      </c>
      <c r="F8" s="13" t="n">
        <v>5</v>
      </c>
      <c r="G8" s="13" t="n">
        <v>0</v>
      </c>
      <c r="H8" s="12" t="n">
        <v>37.820000001</v>
      </c>
      <c r="I8" s="10" t="inlineStr">
        <is>
          <t>Other, Requests / operations</t>
        </is>
      </c>
      <c r="J8" s="10" t="inlineStr">
        <is>
          <t>count, month</t>
        </is>
      </c>
    </row>
    <row r="9">
      <c r="A9" s="10" t="inlineStr">
        <is>
          <t>Cloud Build</t>
        </is>
      </c>
      <c r="B9" s="13" t="n">
        <v>2</v>
      </c>
      <c r="C9" s="13" t="n">
        <v>5</v>
      </c>
      <c r="D9" s="13" t="n">
        <v>4</v>
      </c>
      <c r="E9" s="13" t="n">
        <v>1</v>
      </c>
      <c r="F9" s="13" t="n">
        <v>5</v>
      </c>
      <c r="G9" s="13" t="n">
        <v>0</v>
      </c>
      <c r="H9" s="12" t="n">
        <v>11.346</v>
      </c>
      <c r="I9" s="10" t="inlineStr">
        <is>
          <t>Compute time, Network / egress</t>
        </is>
      </c>
      <c r="J9" s="10" t="inlineStr">
        <is>
          <t>gibibyte, minute</t>
        </is>
      </c>
    </row>
    <row r="10">
      <c r="A10" s="10" t="inlineStr">
        <is>
          <t>Secret Manager</t>
        </is>
      </c>
      <c r="B10" s="13" t="n">
        <v>2</v>
      </c>
      <c r="C10" s="13" t="n">
        <v>4</v>
      </c>
      <c r="D10" s="13" t="n">
        <v>2</v>
      </c>
      <c r="E10" s="13" t="n">
        <v>2</v>
      </c>
      <c r="F10" s="13" t="n">
        <v>4</v>
      </c>
      <c r="G10" s="13" t="n">
        <v>0</v>
      </c>
      <c r="H10" s="12" t="n">
        <v>5.673</v>
      </c>
      <c r="I10" s="10" t="inlineStr">
        <is>
          <t>Requests / operations, Storage / retention</t>
        </is>
      </c>
      <c r="J10" s="10" t="inlineStr">
        <is>
          <t>count, month</t>
        </is>
      </c>
    </row>
    <row r="11">
      <c r="A11" s="10" t="inlineStr">
        <is>
          <t>Cloud Domains</t>
        </is>
      </c>
      <c r="B11" s="13" t="n">
        <v>1</v>
      </c>
      <c r="C11" s="13" t="n">
        <v>1</v>
      </c>
      <c r="D11" s="13" t="n">
        <v>1</v>
      </c>
      <c r="E11" s="13" t="n">
        <v>0</v>
      </c>
      <c r="F11" s="13" t="n">
        <v>1</v>
      </c>
      <c r="G11" s="13" t="n">
        <v>0</v>
      </c>
      <c r="H11" s="12" t="n">
        <v>1134.600000048</v>
      </c>
      <c r="I11" s="10" t="inlineStr">
        <is>
          <t>Fixed subscription</t>
        </is>
      </c>
      <c r="J11" s="10" t="inlineStr">
        <is>
          <t>year</t>
        </is>
      </c>
    </row>
    <row r="12">
      <c r="A12" s="10" t="inlineStr">
        <is>
          <t>Cloud Logging</t>
        </is>
      </c>
      <c r="B12" s="13" t="n">
        <v>1</v>
      </c>
      <c r="C12" s="13" t="n">
        <v>2</v>
      </c>
      <c r="D12" s="13" t="n">
        <v>1</v>
      </c>
      <c r="E12" s="13" t="n">
        <v>1</v>
      </c>
      <c r="F12" s="13" t="n">
        <v>2</v>
      </c>
      <c r="G12" s="13" t="n">
        <v>0</v>
      </c>
      <c r="H12" s="12" t="n">
        <v>47.275000002</v>
      </c>
      <c r="I12" s="10" t="inlineStr">
        <is>
          <t>Storage / retention</t>
        </is>
      </c>
      <c r="J12" s="10" t="inlineStr">
        <is>
          <t>gibibyte</t>
        </is>
      </c>
    </row>
    <row r="13">
      <c r="A13" s="10" t="inlineStr">
        <is>
          <t>Cloud Pub/Sub</t>
        </is>
      </c>
      <c r="B13" s="13" t="n">
        <v>1</v>
      </c>
      <c r="C13" s="13" t="n">
        <v>2</v>
      </c>
      <c r="D13" s="13" t="n">
        <v>1</v>
      </c>
      <c r="E13" s="13" t="n">
        <v>1</v>
      </c>
      <c r="F13" s="13" t="n">
        <v>2</v>
      </c>
      <c r="G13" s="13" t="n">
        <v>0</v>
      </c>
      <c r="H13" s="12" t="n">
        <v>3782.000000161</v>
      </c>
      <c r="I13" s="10" t="inlineStr">
        <is>
          <t>Requests / operations</t>
        </is>
      </c>
      <c r="J13" s="10" t="inlineStr">
        <is>
          <t>tebibyte</t>
        </is>
      </c>
    </row>
    <row r="14">
      <c r="A14" s="10" t="inlineStr">
        <is>
          <t>Cloud Scheduler</t>
        </is>
      </c>
      <c r="B14" s="13" t="n">
        <v>1</v>
      </c>
      <c r="C14" s="13" t="n">
        <v>2</v>
      </c>
      <c r="D14" s="13" t="n">
        <v>1</v>
      </c>
      <c r="E14" s="13" t="n">
        <v>1</v>
      </c>
      <c r="F14" s="13" t="n">
        <v>2</v>
      </c>
      <c r="G14" s="13" t="n">
        <v>0</v>
      </c>
      <c r="H14" s="12" t="n">
        <v>9.455</v>
      </c>
      <c r="I14" s="10" t="inlineStr">
        <is>
          <t>Other</t>
        </is>
      </c>
      <c r="J14" s="10" t="inlineStr">
        <is>
          <t>count</t>
        </is>
      </c>
    </row>
    <row r="15">
      <c r="A15" s="10" t="inlineStr">
        <is>
          <t>Cloud Tasks</t>
        </is>
      </c>
      <c r="B15" s="13" t="n">
        <v>2</v>
      </c>
      <c r="C15" s="13" t="n">
        <v>3</v>
      </c>
      <c r="D15" s="13" t="n">
        <v>1</v>
      </c>
      <c r="E15" s="13" t="n">
        <v>2</v>
      </c>
      <c r="F15" s="13" t="n">
        <v>3</v>
      </c>
      <c r="G15" s="13" t="n">
        <v>0</v>
      </c>
      <c r="H15" s="12" t="n">
        <v>37.820000001</v>
      </c>
      <c r="I15" s="10" t="inlineStr">
        <is>
          <t>Network / egress, Requests / operations</t>
        </is>
      </c>
      <c r="J15" s="10" t="inlineStr">
        <is>
          <t>count, gibibyte</t>
        </is>
      </c>
    </row>
    <row r="16">
      <c r="A16" s="10" t="inlineStr">
        <is>
          <t>Cloud SQL</t>
        </is>
      </c>
      <c r="B16" s="13" t="n">
        <v>4</v>
      </c>
      <c r="C16" s="13" t="n">
        <v>4</v>
      </c>
      <c r="D16" s="13" t="n">
        <v>0</v>
      </c>
      <c r="E16" s="13" t="n">
        <v>4</v>
      </c>
      <c r="F16" s="13" t="n">
        <v>4</v>
      </c>
      <c r="G16" s="13" t="n">
        <v>0</v>
      </c>
      <c r="H16" s="12" t="n">
        <v>0</v>
      </c>
      <c r="I16" s="10" t="inlineStr">
        <is>
          <t>Compute time, Other, Storage / retention</t>
        </is>
      </c>
      <c r="J16" s="10" t="inlineStr">
        <is>
          <t>gibibyte hour, gibibyte month, hour</t>
        </is>
      </c>
    </row>
    <row r="17"/>
    <row r="18"/>
    <row r="19"/>
    <row r="20">
      <c r="A20" s="9" t="inlineStr">
        <is>
          <t>Category</t>
        </is>
      </c>
      <c r="B20" s="9" t="inlineStr">
        <is>
          <t>Rows</t>
        </is>
      </c>
      <c r="C20" s="9" t="inlineStr">
        <is>
          <t>Chargeable rows</t>
        </is>
      </c>
      <c r="D20" s="9" t="inlineStr">
        <is>
          <t>Free/zero rows</t>
        </is>
      </c>
      <c r="E20" s="9" t="inlineStr">
        <is>
          <t>Max normalized rate</t>
        </is>
      </c>
      <c r="F20" s="9" t="inlineStr">
        <is>
          <t>Normalized unit</t>
        </is>
      </c>
    </row>
    <row r="21">
      <c r="A21" s="10" t="inlineStr">
        <is>
          <t>Compute time</t>
        </is>
      </c>
      <c r="B21" s="13" t="n">
        <v>33</v>
      </c>
      <c r="C21" s="13" t="n">
        <v>31</v>
      </c>
      <c r="D21" s="13" t="n">
        <v>2</v>
      </c>
      <c r="E21" s="12" t="n">
        <v>8.169119999999999</v>
      </c>
      <c r="F21" s="10" t="inlineStr">
        <is>
          <t>per hour</t>
        </is>
      </c>
    </row>
    <row r="22">
      <c r="A22" s="10" t="inlineStr">
        <is>
          <t>Fixed subscription</t>
        </is>
      </c>
      <c r="B22" s="13" t="n">
        <v>1</v>
      </c>
      <c r="C22" s="13" t="n">
        <v>1</v>
      </c>
      <c r="D22" s="13" t="n">
        <v>0</v>
      </c>
      <c r="E22" s="12" t="n">
        <v>94.550000004</v>
      </c>
      <c r="F22" s="10" t="inlineStr">
        <is>
          <t>per month equivalent</t>
        </is>
      </c>
    </row>
    <row r="23">
      <c r="A23" s="10" t="inlineStr">
        <is>
          <t>Network / egress</t>
        </is>
      </c>
      <c r="B23" s="13" t="n">
        <v>34</v>
      </c>
      <c r="C23" s="13" t="n">
        <v>25</v>
      </c>
      <c r="D23" s="13" t="n">
        <v>9</v>
      </c>
      <c r="E23" s="12" t="n">
        <v>17.9645</v>
      </c>
      <c r="F23" s="10" t="inlineStr">
        <is>
          <t>per gibibyte</t>
        </is>
      </c>
    </row>
    <row r="24">
      <c r="A24" s="10" t="inlineStr">
        <is>
          <t>Other</t>
        </is>
      </c>
      <c r="B24" s="13" t="n">
        <v>6</v>
      </c>
      <c r="C24" s="13" t="n">
        <v>4</v>
      </c>
      <c r="D24" s="13" t="n">
        <v>2</v>
      </c>
      <c r="E24" s="12" t="n">
        <v>18.91</v>
      </c>
      <c r="F24" s="10" t="inlineStr">
        <is>
          <t>per month</t>
        </is>
      </c>
    </row>
    <row r="25">
      <c r="A25" s="10" t="inlineStr">
        <is>
          <t>Requests / operations</t>
        </is>
      </c>
      <c r="B25" s="13" t="n">
        <v>18</v>
      </c>
      <c r="C25" s="13" t="n">
        <v>10</v>
      </c>
      <c r="D25" s="13" t="n">
        <v>8</v>
      </c>
      <c r="E25" s="12" t="n">
        <v>37.820000001</v>
      </c>
      <c r="F25" s="10" t="inlineStr">
        <is>
          <t>per 1,000,000 count</t>
        </is>
      </c>
    </row>
    <row r="26">
      <c r="A26" s="10" t="inlineStr">
        <is>
          <t>Storage / retention</t>
        </is>
      </c>
      <c r="B26" s="13" t="n">
        <v>17</v>
      </c>
      <c r="C26" s="13" t="n">
        <v>9</v>
      </c>
      <c r="D26" s="13" t="n">
        <v>8</v>
      </c>
      <c r="E26" s="12" t="n">
        <v>47.275000002</v>
      </c>
      <c r="F26" s="10" t="inlineStr">
        <is>
          <t>per gibibyte</t>
        </is>
      </c>
    </row>
  </sheetData>
  <mergeCells count="2">
    <mergeCell ref="A1:J1"/>
    <mergeCell ref="A2:J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2" customWidth="1" min="3" max="3"/>
    <col width="18" customWidth="1" min="4" max="4"/>
    <col width="16" customWidth="1" min="5" max="5"/>
    <col width="14" customWidth="1" min="6" max="6"/>
    <col width="18" customWidth="1" min="7" max="7"/>
    <col width="28" customWidth="1" min="8" max="8"/>
    <col width="14" customWidth="1" min="9" max="9"/>
  </cols>
  <sheetData>
    <row r="1" ht="28" customHeight="1">
      <c r="A1" s="1" t="inlineStr">
        <is>
          <t>Usage Inputs</t>
        </is>
      </c>
    </row>
    <row r="2" ht="32" customHeight="1">
      <c r="A2" s="2" t="inlineStr">
        <is>
          <t>Enter expected monthly usage by SKU. Blue/yellow cells drive the Expense Estimator formulas.</t>
        </is>
      </c>
    </row>
    <row r="3"/>
    <row r="4">
      <c r="A4" s="9" t="inlineStr">
        <is>
          <t>Service</t>
        </is>
      </c>
      <c r="B4" s="9" t="inlineStr">
        <is>
          <t>SKU ID</t>
        </is>
      </c>
      <c r="C4" s="9" t="inlineStr">
        <is>
          <t>SKU description</t>
        </is>
      </c>
      <c r="D4" s="9" t="inlineStr">
        <is>
          <t>Category</t>
        </is>
      </c>
      <c r="E4" s="9" t="inlineStr">
        <is>
          <t>Usage unit</t>
        </is>
      </c>
      <c r="F4" s="9" t="inlineStr">
        <is>
          <t>Per unit quantity</t>
        </is>
      </c>
      <c r="G4" s="9" t="inlineStr">
        <is>
          <t>Monthly usage input</t>
        </is>
      </c>
      <c r="H4" s="9" t="inlineStr">
        <is>
          <t>Input notes</t>
        </is>
      </c>
      <c r="I4" s="9" t="inlineStr">
        <is>
          <t>Pricing model</t>
        </is>
      </c>
    </row>
    <row r="5">
      <c r="A5" s="10" t="inlineStr">
        <is>
          <t>Artifact Registry</t>
        </is>
      </c>
      <c r="B5" s="10" t="inlineStr">
        <is>
          <t>E794-0787-45A9</t>
        </is>
      </c>
      <c r="C5" s="10" t="inlineStr">
        <is>
          <t>Artifact Registry GOOGLE-API Egress</t>
        </is>
      </c>
      <c r="D5" s="10" t="inlineStr">
        <is>
          <t>Network / egress</t>
        </is>
      </c>
      <c r="E5" s="10" t="inlineStr">
        <is>
          <t>gibibyte</t>
        </is>
      </c>
      <c r="F5" s="10" t="n">
        <v>1</v>
      </c>
      <c r="G5" s="14" t="n">
        <v>0</v>
      </c>
      <c r="H5" s="15" t="inlineStr"/>
      <c r="I5" s="10" t="inlineStr">
        <is>
          <t>Default</t>
        </is>
      </c>
    </row>
    <row r="6">
      <c r="A6" s="10" t="inlineStr">
        <is>
          <t>Artifact Registry</t>
        </is>
      </c>
      <c r="B6" s="10" t="inlineStr">
        <is>
          <t>173D-B415-5815</t>
        </is>
      </c>
      <c r="C6" s="10" t="inlineStr">
        <is>
          <t>Artifact Registry Network Inter Region Egress North America to North America</t>
        </is>
      </c>
      <c r="D6" s="10" t="inlineStr">
        <is>
          <t>Network / egress</t>
        </is>
      </c>
      <c r="E6" s="10" t="inlineStr">
        <is>
          <t>gibibyte</t>
        </is>
      </c>
      <c r="F6" s="10" t="n">
        <v>1</v>
      </c>
      <c r="G6" s="14" t="n">
        <v>0</v>
      </c>
      <c r="H6" s="15" t="inlineStr"/>
      <c r="I6" s="10" t="inlineStr">
        <is>
          <t>Default</t>
        </is>
      </c>
    </row>
    <row r="7">
      <c r="A7" s="10" t="inlineStr">
        <is>
          <t>Artifact Registry</t>
        </is>
      </c>
      <c r="B7" s="10" t="inlineStr">
        <is>
          <t>72BD-5309-1C4C</t>
        </is>
      </c>
      <c r="C7" s="10" t="inlineStr">
        <is>
          <t>Artifact Registry Network Internet Egress Intercontinental (Excl Oceania, Africa and China)</t>
        </is>
      </c>
      <c r="D7" s="10" t="inlineStr">
        <is>
          <t>Network / egress</t>
        </is>
      </c>
      <c r="E7" s="10" t="inlineStr">
        <is>
          <t>gibibyte</t>
        </is>
      </c>
      <c r="F7" s="10" t="n">
        <v>1</v>
      </c>
      <c r="G7" s="14" t="n">
        <v>0</v>
      </c>
      <c r="H7" s="15" t="inlineStr"/>
      <c r="I7" s="10" t="inlineStr">
        <is>
          <t>Default</t>
        </is>
      </c>
    </row>
    <row r="8">
      <c r="A8" s="10" t="inlineStr">
        <is>
          <t>Artifact Registry</t>
        </is>
      </c>
      <c r="B8" s="10" t="inlineStr">
        <is>
          <t>546B-E8F2-6FF5</t>
        </is>
      </c>
      <c r="C8" s="10" t="inlineStr">
        <is>
          <t>Artifact Registry Network Intra Region Egress</t>
        </is>
      </c>
      <c r="D8" s="10" t="inlineStr">
        <is>
          <t>Network / egress</t>
        </is>
      </c>
      <c r="E8" s="10" t="inlineStr">
        <is>
          <t>gibibyte</t>
        </is>
      </c>
      <c r="F8" s="10" t="n">
        <v>1</v>
      </c>
      <c r="G8" s="14" t="n">
        <v>0</v>
      </c>
      <c r="H8" s="15" t="inlineStr"/>
      <c r="I8" s="10" t="inlineStr">
        <is>
          <t>Default</t>
        </is>
      </c>
    </row>
    <row r="9">
      <c r="A9" s="10" t="inlineStr">
        <is>
          <t>Artifact Registry</t>
        </is>
      </c>
      <c r="B9" s="10" t="inlineStr">
        <is>
          <t>8502-299A-ABAF</t>
        </is>
      </c>
      <c r="C9" s="10" t="inlineStr">
        <is>
          <t>Artifact Registry Storage</t>
        </is>
      </c>
      <c r="D9" s="10" t="inlineStr">
        <is>
          <t>Storage / retention</t>
        </is>
      </c>
      <c r="E9" s="10" t="inlineStr">
        <is>
          <t>gibibyte month</t>
        </is>
      </c>
      <c r="F9" s="10" t="n">
        <v>1</v>
      </c>
      <c r="G9" s="14" t="n">
        <v>0</v>
      </c>
      <c r="H9" s="15" t="inlineStr"/>
      <c r="I9" s="10" t="inlineStr">
        <is>
          <t>Default</t>
        </is>
      </c>
    </row>
    <row r="10">
      <c r="A10" s="10" t="inlineStr">
        <is>
          <t>Cloud Build</t>
        </is>
      </c>
      <c r="B10" s="10" t="inlineStr">
        <is>
          <t>A464-9020-6404</t>
        </is>
      </c>
      <c r="C10" s="10" t="inlineStr">
        <is>
          <t>Build time e2-standard-2</t>
        </is>
      </c>
      <c r="D10" s="10" t="inlineStr">
        <is>
          <t>Compute time</t>
        </is>
      </c>
      <c r="E10" s="10" t="inlineStr">
        <is>
          <t>minute</t>
        </is>
      </c>
      <c r="F10" s="10" t="n">
        <v>1</v>
      </c>
      <c r="G10" s="14" t="n">
        <v>0</v>
      </c>
      <c r="H10" s="15" t="inlineStr"/>
      <c r="I10" s="10" t="inlineStr">
        <is>
          <t>Default</t>
        </is>
      </c>
    </row>
    <row r="11">
      <c r="A11" s="10" t="inlineStr">
        <is>
          <t>Cloud Build</t>
        </is>
      </c>
      <c r="B11" s="10" t="inlineStr">
        <is>
          <t>D5F9-06F3-71E0</t>
        </is>
      </c>
      <c r="C11" s="10" t="inlineStr">
        <is>
          <t>Cloud Build: Network Data Transfer Out Internet Premium within North America</t>
        </is>
      </c>
      <c r="D11" s="10" t="inlineStr">
        <is>
          <t>Network / egress</t>
        </is>
      </c>
      <c r="E11" s="10" t="inlineStr">
        <is>
          <t>gibibyte</t>
        </is>
      </c>
      <c r="F11" s="10" t="n">
        <v>1</v>
      </c>
      <c r="G11" s="14" t="n">
        <v>0</v>
      </c>
      <c r="H11" s="15" t="inlineStr"/>
      <c r="I11" s="10" t="inlineStr">
        <is>
          <t>Default</t>
        </is>
      </c>
    </row>
    <row r="12">
      <c r="A12" s="10" t="inlineStr">
        <is>
          <t>Cloud DNS</t>
        </is>
      </c>
      <c r="B12" s="10" t="inlineStr">
        <is>
          <t>6DFF-5025-A128</t>
        </is>
      </c>
      <c r="C12" s="10" t="inlineStr">
        <is>
          <t>DNS Query (port 53)</t>
        </is>
      </c>
      <c r="D12" s="10" t="inlineStr">
        <is>
          <t>Requests / operations</t>
        </is>
      </c>
      <c r="E12" s="10" t="inlineStr">
        <is>
          <t>count</t>
        </is>
      </c>
      <c r="F12" s="10" t="n">
        <v>1000000</v>
      </c>
      <c r="G12" s="14" t="n">
        <v>0</v>
      </c>
      <c r="H12" s="15" t="inlineStr"/>
      <c r="I12" s="10" t="inlineStr">
        <is>
          <t>Default</t>
        </is>
      </c>
    </row>
    <row r="13">
      <c r="A13" s="10" t="inlineStr">
        <is>
          <t>Cloud DNS</t>
        </is>
      </c>
      <c r="B13" s="10" t="inlineStr">
        <is>
          <t>8C22-6FC3-D478</t>
        </is>
      </c>
      <c r="C13" s="10" t="inlineStr">
        <is>
          <t>ManagedZone</t>
        </is>
      </c>
      <c r="D13" s="10" t="inlineStr">
        <is>
          <t>Other</t>
        </is>
      </c>
      <c r="E13" s="10" t="inlineStr">
        <is>
          <t>month</t>
        </is>
      </c>
      <c r="F13" s="10" t="n">
        <v>1</v>
      </c>
      <c r="G13" s="14" t="n">
        <v>0</v>
      </c>
      <c r="H13" s="15" t="inlineStr"/>
      <c r="I13" s="10" t="inlineStr">
        <is>
          <t>Default</t>
        </is>
      </c>
    </row>
    <row r="14">
      <c r="A14" s="10" t="inlineStr">
        <is>
          <t>Cloud Domains</t>
        </is>
      </c>
      <c r="B14" s="10" t="inlineStr">
        <is>
          <t>6A79-1457-3004</t>
        </is>
      </c>
      <c r="C14" s="10" t="inlineStr">
        <is>
          <t>Subscription for domain with TLD .com - yearly prepay</t>
        </is>
      </c>
      <c r="D14" s="10" t="inlineStr">
        <is>
          <t>Fixed subscription</t>
        </is>
      </c>
      <c r="E14" s="10" t="inlineStr">
        <is>
          <t>year</t>
        </is>
      </c>
      <c r="F14" s="10" t="n">
        <v>1</v>
      </c>
      <c r="G14" s="14" t="n">
        <v>0</v>
      </c>
      <c r="H14" s="15" t="inlineStr"/>
      <c r="I14" s="10" t="inlineStr">
        <is>
          <t>Default</t>
        </is>
      </c>
    </row>
    <row r="15">
      <c r="A15" s="10" t="inlineStr">
        <is>
          <t>Cloud Logging</t>
        </is>
      </c>
      <c r="B15" s="10" t="inlineStr">
        <is>
          <t>143F-A1B0-E0BE</t>
        </is>
      </c>
      <c r="C15" s="10" t="inlineStr">
        <is>
          <t>Log Storage cost</t>
        </is>
      </c>
      <c r="D15" s="10" t="inlineStr">
        <is>
          <t>Storage / retention</t>
        </is>
      </c>
      <c r="E15" s="10" t="inlineStr">
        <is>
          <t>gibibyte</t>
        </is>
      </c>
      <c r="F15" s="10" t="n">
        <v>1</v>
      </c>
      <c r="G15" s="14" t="n">
        <v>0</v>
      </c>
      <c r="H15" s="15" t="inlineStr"/>
      <c r="I15" s="10" t="inlineStr">
        <is>
          <t>Default</t>
        </is>
      </c>
    </row>
    <row r="16">
      <c r="A16" s="10" t="inlineStr">
        <is>
          <t>Cloud Pub/Sub</t>
        </is>
      </c>
      <c r="B16" s="10" t="inlineStr">
        <is>
          <t>027D-B6C7-CCA2</t>
        </is>
      </c>
      <c r="C16" s="10" t="inlineStr">
        <is>
          <t>Message Delivery Basic</t>
        </is>
      </c>
      <c r="D16" s="10" t="inlineStr">
        <is>
          <t>Requests / operations</t>
        </is>
      </c>
      <c r="E16" s="10" t="inlineStr">
        <is>
          <t>tebibyte</t>
        </is>
      </c>
      <c r="F16" s="10" t="n">
        <v>1</v>
      </c>
      <c r="G16" s="14" t="n">
        <v>0</v>
      </c>
      <c r="H16" s="15" t="inlineStr"/>
      <c r="I16" s="10" t="inlineStr">
        <is>
          <t>Default</t>
        </is>
      </c>
    </row>
    <row r="17">
      <c r="A17" s="10" t="inlineStr">
        <is>
          <t>Cloud Run</t>
        </is>
      </c>
      <c r="B17" s="10" t="inlineStr">
        <is>
          <t>0CCB-7057-48DE</t>
        </is>
      </c>
      <c r="C17" s="10" t="inlineStr">
        <is>
          <t>Cloud Run GOOGLE-API Data Transfer Out</t>
        </is>
      </c>
      <c r="D17" s="10" t="inlineStr">
        <is>
          <t>Network / egress</t>
        </is>
      </c>
      <c r="E17" s="10" t="inlineStr">
        <is>
          <t>gibibyte</t>
        </is>
      </c>
      <c r="F17" s="10" t="n">
        <v>1</v>
      </c>
      <c r="G17" s="14" t="n">
        <v>0</v>
      </c>
      <c r="H17" s="15" t="inlineStr"/>
      <c r="I17" s="10" t="inlineStr">
        <is>
          <t>Default</t>
        </is>
      </c>
    </row>
    <row r="18">
      <c r="A18" s="10" t="inlineStr">
        <is>
          <t>Cloud Run</t>
        </is>
      </c>
      <c r="B18" s="10" t="inlineStr">
        <is>
          <t>D63C-EDCA-4726</t>
        </is>
      </c>
      <c r="C18" s="10" t="inlineStr">
        <is>
          <t>Cloud Run Network Data Transfer Out via Carrier Peering Network - North America Based</t>
        </is>
      </c>
      <c r="D18" s="10" t="inlineStr">
        <is>
          <t>Network / egress</t>
        </is>
      </c>
      <c r="E18" s="10" t="inlineStr">
        <is>
          <t>gibibyte</t>
        </is>
      </c>
      <c r="F18" s="10" t="n">
        <v>1</v>
      </c>
      <c r="G18" s="14" t="n">
        <v>0</v>
      </c>
      <c r="H18" s="15" t="inlineStr"/>
      <c r="I18" s="10" t="inlineStr">
        <is>
          <t>Default</t>
        </is>
      </c>
    </row>
    <row r="19">
      <c r="A19" s="10" t="inlineStr">
        <is>
          <t>Cloud Run</t>
        </is>
      </c>
      <c r="B19" s="10" t="inlineStr">
        <is>
          <t>9B46-8DDB-2AC8</t>
        </is>
      </c>
      <c r="C19" s="10" t="inlineStr">
        <is>
          <t>Cloud Run Network Inter Region Data Transfer Out Intercontinental (Excl Oceania)</t>
        </is>
      </c>
      <c r="D19" s="10" t="inlineStr">
        <is>
          <t>Network / egress</t>
        </is>
      </c>
      <c r="E19" s="10" t="inlineStr">
        <is>
          <t>gibibyte</t>
        </is>
      </c>
      <c r="F19" s="10" t="n">
        <v>1</v>
      </c>
      <c r="G19" s="14" t="n">
        <v>0</v>
      </c>
      <c r="H19" s="15" t="inlineStr"/>
      <c r="I19" s="10" t="inlineStr">
        <is>
          <t>Default</t>
        </is>
      </c>
    </row>
    <row r="20">
      <c r="A20" s="10" t="inlineStr">
        <is>
          <t>Cloud Run</t>
        </is>
      </c>
      <c r="B20" s="10" t="inlineStr">
        <is>
          <t>E262-332F-1474</t>
        </is>
      </c>
      <c r="C20" s="10" t="inlineStr">
        <is>
          <t>Cloud Run Network Inter Region Data Transfer Out North America to North America</t>
        </is>
      </c>
      <c r="D20" s="10" t="inlineStr">
        <is>
          <t>Network / egress</t>
        </is>
      </c>
      <c r="E20" s="10" t="inlineStr">
        <is>
          <t>gibibyte</t>
        </is>
      </c>
      <c r="F20" s="10" t="n">
        <v>1</v>
      </c>
      <c r="G20" s="14" t="n">
        <v>0</v>
      </c>
      <c r="H20" s="15" t="inlineStr"/>
      <c r="I20" s="10" t="inlineStr">
        <is>
          <t>Default</t>
        </is>
      </c>
    </row>
    <row r="21">
      <c r="A21" s="10" t="inlineStr">
        <is>
          <t>Cloud Run</t>
        </is>
      </c>
      <c r="B21" s="10" t="inlineStr">
        <is>
          <t>DBAA-7594-B9FA</t>
        </is>
      </c>
      <c r="C21" s="10" t="inlineStr">
        <is>
          <t>Cloud Run Network Internet Data Transfer Out Intercontinental (Excl Oceania, Africa and China)</t>
        </is>
      </c>
      <c r="D21" s="10" t="inlineStr">
        <is>
          <t>Network / egress</t>
        </is>
      </c>
      <c r="E21" s="10" t="inlineStr">
        <is>
          <t>gibibyte</t>
        </is>
      </c>
      <c r="F21" s="10" t="n">
        <v>1</v>
      </c>
      <c r="G21" s="14" t="n">
        <v>0</v>
      </c>
      <c r="H21" s="15" t="inlineStr"/>
      <c r="I21" s="10" t="inlineStr">
        <is>
          <t>Default</t>
        </is>
      </c>
    </row>
    <row r="22">
      <c r="A22" s="10" t="inlineStr">
        <is>
          <t>Cloud Run</t>
        </is>
      </c>
      <c r="B22" s="10" t="inlineStr">
        <is>
          <t>DF75-E5D2-F9DB</t>
        </is>
      </c>
      <c r="C22" s="10" t="inlineStr">
        <is>
          <t>Cloud Run Network Internet Data Transfer Out Intercontinental from/to Oceania</t>
        </is>
      </c>
      <c r="D22" s="10" t="inlineStr">
        <is>
          <t>Network / egress</t>
        </is>
      </c>
      <c r="E22" s="10" t="inlineStr">
        <is>
          <t>gibibyte</t>
        </is>
      </c>
      <c r="F22" s="10" t="n">
        <v>1</v>
      </c>
      <c r="G22" s="14" t="n">
        <v>0</v>
      </c>
      <c r="H22" s="15" t="inlineStr"/>
      <c r="I22" s="10" t="inlineStr">
        <is>
          <t>Default</t>
        </is>
      </c>
    </row>
    <row r="23">
      <c r="A23" s="10" t="inlineStr">
        <is>
          <t>Cloud Run</t>
        </is>
      </c>
      <c r="B23" s="10" t="inlineStr">
        <is>
          <t>DDFD-AE42-E219</t>
        </is>
      </c>
      <c r="C23" s="10" t="inlineStr">
        <is>
          <t>Cloud Run Network Internet Data Transfer Out North America to North America</t>
        </is>
      </c>
      <c r="D23" s="10" t="inlineStr">
        <is>
          <t>Network / egress</t>
        </is>
      </c>
      <c r="E23" s="10" t="inlineStr">
        <is>
          <t>gibibyte</t>
        </is>
      </c>
      <c r="F23" s="10" t="n">
        <v>1</v>
      </c>
      <c r="G23" s="14" t="n">
        <v>0</v>
      </c>
      <c r="H23" s="15" t="inlineStr"/>
      <c r="I23" s="10" t="inlineStr">
        <is>
          <t>Default</t>
        </is>
      </c>
    </row>
    <row r="24">
      <c r="A24" s="10" t="inlineStr">
        <is>
          <t>Cloud Run</t>
        </is>
      </c>
      <c r="B24" s="10" t="inlineStr">
        <is>
          <t>EF10-B23A-2545</t>
        </is>
      </c>
      <c r="C24" s="10" t="inlineStr">
        <is>
          <t>Cloud Run Network Intra Region Data Transfer</t>
        </is>
      </c>
      <c r="D24" s="10" t="inlineStr">
        <is>
          <t>Network / egress</t>
        </is>
      </c>
      <c r="E24" s="10" t="inlineStr">
        <is>
          <t>gibibyte</t>
        </is>
      </c>
      <c r="F24" s="10" t="n">
        <v>1</v>
      </c>
      <c r="G24" s="14" t="n">
        <v>0</v>
      </c>
      <c r="H24" s="15" t="inlineStr"/>
      <c r="I24" s="10" t="inlineStr">
        <is>
          <t>Default</t>
        </is>
      </c>
    </row>
    <row r="25">
      <c r="A25" s="10" t="inlineStr">
        <is>
          <t>Cloud Run</t>
        </is>
      </c>
      <c r="B25" s="10" t="inlineStr">
        <is>
          <t>257B-2A84-3396</t>
        </is>
      </c>
      <c r="C25" s="10" t="inlineStr">
        <is>
          <t>Jobs CPU in us-central1</t>
        </is>
      </c>
      <c r="D25" s="10" t="inlineStr">
        <is>
          <t>Compute time</t>
        </is>
      </c>
      <c r="E25" s="10" t="inlineStr">
        <is>
          <t>second</t>
        </is>
      </c>
      <c r="F25" s="10" t="n">
        <v>1</v>
      </c>
      <c r="G25" s="14" t="n">
        <v>0</v>
      </c>
      <c r="H25" s="15" t="inlineStr"/>
      <c r="I25" s="10" t="inlineStr">
        <is>
          <t>Default</t>
        </is>
      </c>
    </row>
    <row r="26">
      <c r="A26" s="10" t="inlineStr">
        <is>
          <t>Cloud Run</t>
        </is>
      </c>
      <c r="B26" s="10" t="inlineStr">
        <is>
          <t>8A79-9F45-5F32</t>
        </is>
      </c>
      <c r="C26" s="10" t="inlineStr">
        <is>
          <t>Jobs Memory in us-central1</t>
        </is>
      </c>
      <c r="D26" s="10" t="inlineStr">
        <is>
          <t>Compute time</t>
        </is>
      </c>
      <c r="E26" s="10" t="inlineStr">
        <is>
          <t>gibibyte second</t>
        </is>
      </c>
      <c r="F26" s="10" t="n">
        <v>1</v>
      </c>
      <c r="G26" s="14" t="n">
        <v>0</v>
      </c>
      <c r="H26" s="15" t="inlineStr"/>
      <c r="I26" s="10" t="inlineStr">
        <is>
          <t>Default</t>
        </is>
      </c>
    </row>
    <row r="27">
      <c r="A27" s="10" t="inlineStr">
        <is>
          <t>Cloud Run</t>
        </is>
      </c>
      <c r="B27" s="10" t="inlineStr">
        <is>
          <t>2DA5-55D3-E679</t>
        </is>
      </c>
      <c r="C27" s="10" t="inlineStr">
        <is>
          <t>Requests</t>
        </is>
      </c>
      <c r="D27" s="10" t="inlineStr">
        <is>
          <t>Requests / operations</t>
        </is>
      </c>
      <c r="E27" s="10" t="inlineStr">
        <is>
          <t>count</t>
        </is>
      </c>
      <c r="F27" s="10" t="n">
        <v>1000000</v>
      </c>
      <c r="G27" s="14" t="n">
        <v>0</v>
      </c>
      <c r="H27" s="15" t="inlineStr"/>
      <c r="I27" s="10" t="inlineStr">
        <is>
          <t>Default</t>
        </is>
      </c>
    </row>
    <row r="28">
      <c r="A28" s="10" t="inlineStr">
        <is>
          <t>Cloud Run</t>
        </is>
      </c>
      <c r="B28" s="10" t="inlineStr">
        <is>
          <t>4856-B847-F1EB</t>
        </is>
      </c>
      <c r="C28" s="10" t="inlineStr">
        <is>
          <t>Services CPU (Request-based billing)</t>
        </is>
      </c>
      <c r="D28" s="10" t="inlineStr">
        <is>
          <t>Compute time</t>
        </is>
      </c>
      <c r="E28" s="10" t="inlineStr">
        <is>
          <t>second</t>
        </is>
      </c>
      <c r="F28" s="10" t="n">
        <v>1</v>
      </c>
      <c r="G28" s="14" t="n">
        <v>0</v>
      </c>
      <c r="H28" s="15" t="inlineStr"/>
      <c r="I28" s="10" t="inlineStr">
        <is>
          <t>Default</t>
        </is>
      </c>
    </row>
    <row r="29">
      <c r="A29" s="10" t="inlineStr">
        <is>
          <t>Cloud Run</t>
        </is>
      </c>
      <c r="B29" s="10" t="inlineStr">
        <is>
          <t>02A2-9231-36A6</t>
        </is>
      </c>
      <c r="C29" s="10" t="inlineStr">
        <is>
          <t>Services Memory (Request-based billing)</t>
        </is>
      </c>
      <c r="D29" s="10" t="inlineStr">
        <is>
          <t>Compute time</t>
        </is>
      </c>
      <c r="E29" s="10" t="inlineStr">
        <is>
          <t>gibibyte second</t>
        </is>
      </c>
      <c r="F29" s="10" t="n">
        <v>1</v>
      </c>
      <c r="G29" s="14" t="n">
        <v>0</v>
      </c>
      <c r="H29" s="15" t="inlineStr"/>
      <c r="I29" s="10" t="inlineStr">
        <is>
          <t>Default</t>
        </is>
      </c>
    </row>
    <row r="30">
      <c r="A30" s="10" t="inlineStr">
        <is>
          <t>Cloud Run</t>
        </is>
      </c>
      <c r="B30" s="10" t="inlineStr">
        <is>
          <t>7EBB-8579-2C98</t>
        </is>
      </c>
      <c r="C30" s="10" t="inlineStr">
        <is>
          <t>Services Min Instance CPU (Request-based billing)</t>
        </is>
      </c>
      <c r="D30" s="10" t="inlineStr">
        <is>
          <t>Compute time</t>
        </is>
      </c>
      <c r="E30" s="10" t="inlineStr">
        <is>
          <t>second</t>
        </is>
      </c>
      <c r="F30" s="10" t="n">
        <v>1</v>
      </c>
      <c r="G30" s="14" t="n">
        <v>0</v>
      </c>
      <c r="H30" s="15" t="inlineStr"/>
      <c r="I30" s="10" t="inlineStr">
        <is>
          <t>Default</t>
        </is>
      </c>
    </row>
    <row r="31">
      <c r="A31" s="10" t="inlineStr">
        <is>
          <t>Cloud Run</t>
        </is>
      </c>
      <c r="B31" s="10" t="inlineStr">
        <is>
          <t>740D-08F2-7A11</t>
        </is>
      </c>
      <c r="C31" s="10" t="inlineStr">
        <is>
          <t>Services Min Instance Memory (Request-based billing)</t>
        </is>
      </c>
      <c r="D31" s="10" t="inlineStr">
        <is>
          <t>Compute time</t>
        </is>
      </c>
      <c r="E31" s="10" t="inlineStr">
        <is>
          <t>gibibyte second</t>
        </is>
      </c>
      <c r="F31" s="10" t="n">
        <v>1</v>
      </c>
      <c r="G31" s="14" t="n">
        <v>0</v>
      </c>
      <c r="H31" s="15" t="inlineStr"/>
      <c r="I31" s="10" t="inlineStr">
        <is>
          <t>Default</t>
        </is>
      </c>
    </row>
    <row r="32">
      <c r="A32" s="10" t="inlineStr">
        <is>
          <t>Cloud SQL</t>
        </is>
      </c>
      <c r="B32" s="10" t="inlineStr">
        <is>
          <t>00AF-5292-3D5D</t>
        </is>
      </c>
      <c r="C32" s="10" t="inlineStr">
        <is>
          <t>CloudSQL Free Tier Data Cache Storage</t>
        </is>
      </c>
      <c r="D32" s="10" t="inlineStr">
        <is>
          <t>Storage / retention</t>
        </is>
      </c>
      <c r="E32" s="10" t="inlineStr">
        <is>
          <t>gibibyte month</t>
        </is>
      </c>
      <c r="F32" s="10" t="n">
        <v>1</v>
      </c>
      <c r="G32" s="14" t="n">
        <v>0</v>
      </c>
      <c r="H32" s="15" t="inlineStr"/>
      <c r="I32" s="10" t="inlineStr">
        <is>
          <t>Default</t>
        </is>
      </c>
    </row>
    <row r="33">
      <c r="A33" s="10" t="inlineStr">
        <is>
          <t>Cloud SQL</t>
        </is>
      </c>
      <c r="B33" s="10" t="inlineStr">
        <is>
          <t>211D-2EB8-B4E3</t>
        </is>
      </c>
      <c r="C33" s="10" t="inlineStr">
        <is>
          <t>CloudSQL Free Tier Instance RAM</t>
        </is>
      </c>
      <c r="D33" s="10" t="inlineStr">
        <is>
          <t>Other</t>
        </is>
      </c>
      <c r="E33" s="10" t="inlineStr">
        <is>
          <t>gibibyte hour</t>
        </is>
      </c>
      <c r="F33" s="10" t="n">
        <v>1</v>
      </c>
      <c r="G33" s="14" t="n">
        <v>0</v>
      </c>
      <c r="H33" s="15" t="inlineStr"/>
      <c r="I33" s="10" t="inlineStr">
        <is>
          <t>Default</t>
        </is>
      </c>
    </row>
    <row r="34">
      <c r="A34" s="10" t="inlineStr">
        <is>
          <t>Cloud SQL</t>
        </is>
      </c>
      <c r="B34" s="10" t="inlineStr">
        <is>
          <t>A20B-E6B8-A643</t>
        </is>
      </c>
      <c r="C34" s="10" t="inlineStr">
        <is>
          <t>CloudSQL Free Tier Instance vCPU Cores</t>
        </is>
      </c>
      <c r="D34" s="10" t="inlineStr">
        <is>
          <t>Compute time</t>
        </is>
      </c>
      <c r="E34" s="10" t="inlineStr">
        <is>
          <t>hour</t>
        </is>
      </c>
      <c r="F34" s="10" t="n">
        <v>1</v>
      </c>
      <c r="G34" s="14" t="n">
        <v>0</v>
      </c>
      <c r="H34" s="15" t="inlineStr"/>
      <c r="I34" s="10" t="inlineStr">
        <is>
          <t>Default</t>
        </is>
      </c>
    </row>
    <row r="35">
      <c r="A35" s="10" t="inlineStr">
        <is>
          <t>Cloud SQL</t>
        </is>
      </c>
      <c r="B35" s="10" t="inlineStr">
        <is>
          <t>E577-1705-5479</t>
        </is>
      </c>
      <c r="C35" s="10" t="inlineStr">
        <is>
          <t>CloudSQL Free Tier Standard storage</t>
        </is>
      </c>
      <c r="D35" s="10" t="inlineStr">
        <is>
          <t>Storage / retention</t>
        </is>
      </c>
      <c r="E35" s="10" t="inlineStr">
        <is>
          <t>gibibyte month</t>
        </is>
      </c>
      <c r="F35" s="10" t="n">
        <v>1</v>
      </c>
      <c r="G35" s="14" t="n">
        <v>0</v>
      </c>
      <c r="H35" s="15" t="inlineStr"/>
      <c r="I35" s="10" t="inlineStr">
        <is>
          <t>Default</t>
        </is>
      </c>
    </row>
    <row r="36">
      <c r="A36" s="10" t="inlineStr">
        <is>
          <t>Cloud Scheduler</t>
        </is>
      </c>
      <c r="B36" s="10" t="inlineStr">
        <is>
          <t>A5D6-43A2-28A7</t>
        </is>
      </c>
      <c r="C36" s="10" t="inlineStr">
        <is>
          <t>Jobs</t>
        </is>
      </c>
      <c r="D36" s="10" t="inlineStr">
        <is>
          <t>Other</t>
        </is>
      </c>
      <c r="E36" s="10" t="inlineStr">
        <is>
          <t>count</t>
        </is>
      </c>
      <c r="F36" s="10" t="n">
        <v>31</v>
      </c>
      <c r="G36" s="14" t="n">
        <v>0</v>
      </c>
      <c r="H36" s="15" t="inlineStr"/>
      <c r="I36" s="10" t="inlineStr">
        <is>
          <t>Default</t>
        </is>
      </c>
    </row>
    <row r="37">
      <c r="A37" s="10" t="inlineStr">
        <is>
          <t>Cloud Storage</t>
        </is>
      </c>
      <c r="B37" s="10" t="inlineStr">
        <is>
          <t>1F8B-71B0-3D1B</t>
        </is>
      </c>
      <c r="C37" s="10" t="inlineStr">
        <is>
          <t>Download APAC</t>
        </is>
      </c>
      <c r="D37" s="10" t="inlineStr">
        <is>
          <t>Network / egress</t>
        </is>
      </c>
      <c r="E37" s="10" t="inlineStr">
        <is>
          <t>gibibyte</t>
        </is>
      </c>
      <c r="F37" s="10" t="n">
        <v>1</v>
      </c>
      <c r="G37" s="14" t="n">
        <v>0</v>
      </c>
      <c r="H37" s="15" t="inlineStr"/>
      <c r="I37" s="10" t="inlineStr">
        <is>
          <t>Default</t>
        </is>
      </c>
    </row>
    <row r="38">
      <c r="A38" s="10" t="inlineStr">
        <is>
          <t>Cloud Storage</t>
        </is>
      </c>
      <c r="B38" s="10" t="inlineStr">
        <is>
          <t>9ADA-9AED-1B24</t>
        </is>
      </c>
      <c r="C38" s="10" t="inlineStr">
        <is>
          <t>Multi-Region Standard Class A Operations</t>
        </is>
      </c>
      <c r="D38" s="10" t="inlineStr">
        <is>
          <t>Storage / retention</t>
        </is>
      </c>
      <c r="E38" s="10" t="inlineStr">
        <is>
          <t>count</t>
        </is>
      </c>
      <c r="F38" s="10" t="n">
        <v>1000</v>
      </c>
      <c r="G38" s="14" t="n">
        <v>0</v>
      </c>
      <c r="H38" s="15" t="inlineStr"/>
      <c r="I38" s="10" t="inlineStr">
        <is>
          <t>Default</t>
        </is>
      </c>
    </row>
    <row r="39">
      <c r="A39" s="10" t="inlineStr">
        <is>
          <t>Cloud Storage</t>
        </is>
      </c>
      <c r="B39" s="10" t="inlineStr">
        <is>
          <t>8AE7-5BBD-8F38</t>
        </is>
      </c>
      <c r="C39" s="10" t="inlineStr">
        <is>
          <t>Multi-Region Standard Class B Operations</t>
        </is>
      </c>
      <c r="D39" s="10" t="inlineStr">
        <is>
          <t>Storage / retention</t>
        </is>
      </c>
      <c r="E39" s="10" t="inlineStr">
        <is>
          <t>count</t>
        </is>
      </c>
      <c r="F39" s="10" t="n">
        <v>1000</v>
      </c>
      <c r="G39" s="14" t="n">
        <v>0</v>
      </c>
      <c r="H39" s="15" t="inlineStr"/>
      <c r="I39" s="10" t="inlineStr">
        <is>
          <t>Default</t>
        </is>
      </c>
    </row>
    <row r="40">
      <c r="A40" s="10" t="inlineStr">
        <is>
          <t>Cloud Storage</t>
        </is>
      </c>
      <c r="B40" s="10" t="inlineStr">
        <is>
          <t>B1FE-19F7-6D1B</t>
        </is>
      </c>
      <c r="C40" s="10" t="inlineStr">
        <is>
          <t>NA-based Storage Data Transfer Out via peered/interconnect network</t>
        </is>
      </c>
      <c r="D40" s="10" t="inlineStr">
        <is>
          <t>Network / egress</t>
        </is>
      </c>
      <c r="E40" s="10" t="inlineStr">
        <is>
          <t>gibibyte</t>
        </is>
      </c>
      <c r="F40" s="10" t="n">
        <v>1</v>
      </c>
      <c r="G40" s="14" t="n">
        <v>0</v>
      </c>
      <c r="H40" s="15" t="inlineStr"/>
      <c r="I40" s="10" t="inlineStr">
        <is>
          <t>Default</t>
        </is>
      </c>
    </row>
    <row r="41">
      <c r="A41" s="10" t="inlineStr">
        <is>
          <t>Cloud Storage</t>
        </is>
      </c>
      <c r="B41" s="10" t="inlineStr">
        <is>
          <t>3C8A-99C5-F47B</t>
        </is>
      </c>
      <c r="C41" s="10" t="inlineStr">
        <is>
          <t>Network Data Transfer GCP Multi-region within Northern America</t>
        </is>
      </c>
      <c r="D41" s="10" t="inlineStr">
        <is>
          <t>Network / egress</t>
        </is>
      </c>
      <c r="E41" s="10" t="inlineStr">
        <is>
          <t>gibibyte</t>
        </is>
      </c>
      <c r="F41" s="10" t="n">
        <v>1</v>
      </c>
      <c r="G41" s="14" t="n">
        <v>0</v>
      </c>
      <c r="H41" s="15" t="inlineStr"/>
      <c r="I41" s="10" t="inlineStr">
        <is>
          <t>Default</t>
        </is>
      </c>
    </row>
    <row r="42">
      <c r="A42" s="10" t="inlineStr">
        <is>
          <t>Cloud Storage</t>
        </is>
      </c>
      <c r="B42" s="10" t="inlineStr">
        <is>
          <t>AED0-3315-7B11</t>
        </is>
      </c>
      <c r="C42" s="10" t="inlineStr">
        <is>
          <t>Network Data Transfer GCP Replication within Northern America</t>
        </is>
      </c>
      <c r="D42" s="10" t="inlineStr">
        <is>
          <t>Network / egress</t>
        </is>
      </c>
      <c r="E42" s="10" t="inlineStr">
        <is>
          <t>gibibyte</t>
        </is>
      </c>
      <c r="F42" s="10" t="n">
        <v>1</v>
      </c>
      <c r="G42" s="14" t="n">
        <v>0</v>
      </c>
      <c r="H42" s="15" t="inlineStr"/>
      <c r="I42" s="10" t="inlineStr">
        <is>
          <t>Default</t>
        </is>
      </c>
    </row>
    <row r="43">
      <c r="A43" s="10" t="inlineStr">
        <is>
          <t>Cloud Storage</t>
        </is>
      </c>
      <c r="B43" s="10" t="inlineStr">
        <is>
          <t>4DBF-185F-A415</t>
        </is>
      </c>
      <c r="C43" s="10" t="inlineStr">
        <is>
          <t>Regional Standard Class A Operations</t>
        </is>
      </c>
      <c r="D43" s="10" t="inlineStr">
        <is>
          <t>Storage / retention</t>
        </is>
      </c>
      <c r="E43" s="10" t="inlineStr">
        <is>
          <t>count</t>
        </is>
      </c>
      <c r="F43" s="10" t="n">
        <v>1000</v>
      </c>
      <c r="G43" s="14" t="n">
        <v>0</v>
      </c>
      <c r="H43" s="15" t="inlineStr"/>
      <c r="I43" s="10" t="inlineStr">
        <is>
          <t>Default</t>
        </is>
      </c>
    </row>
    <row r="44">
      <c r="A44" s="10" t="inlineStr">
        <is>
          <t>Cloud Storage</t>
        </is>
      </c>
      <c r="B44" s="10" t="inlineStr">
        <is>
          <t>7870-010B-2763</t>
        </is>
      </c>
      <c r="C44" s="10" t="inlineStr">
        <is>
          <t>Regional Standard Class B Operations</t>
        </is>
      </c>
      <c r="D44" s="10" t="inlineStr">
        <is>
          <t>Storage / retention</t>
        </is>
      </c>
      <c r="E44" s="10" t="inlineStr">
        <is>
          <t>count</t>
        </is>
      </c>
      <c r="F44" s="10" t="n">
        <v>1000</v>
      </c>
      <c r="G44" s="14" t="n">
        <v>0</v>
      </c>
      <c r="H44" s="15" t="inlineStr"/>
      <c r="I44" s="10" t="inlineStr">
        <is>
          <t>Default</t>
        </is>
      </c>
    </row>
    <row r="45">
      <c r="A45" s="10" t="inlineStr">
        <is>
          <t>Cloud Storage</t>
        </is>
      </c>
      <c r="B45" s="10" t="inlineStr">
        <is>
          <t>0D5D-6E23-4250</t>
        </is>
      </c>
      <c r="C45" s="10" t="inlineStr">
        <is>
          <t>Standard Storage US Multi-region</t>
        </is>
      </c>
      <c r="D45" s="10" t="inlineStr">
        <is>
          <t>Storage / retention</t>
        </is>
      </c>
      <c r="E45" s="10" t="inlineStr">
        <is>
          <t>gibibyte month</t>
        </is>
      </c>
      <c r="F45" s="10" t="n">
        <v>1</v>
      </c>
      <c r="G45" s="14" t="n">
        <v>0</v>
      </c>
      <c r="H45" s="15" t="inlineStr"/>
      <c r="I45" s="10" t="inlineStr">
        <is>
          <t>Default</t>
        </is>
      </c>
    </row>
    <row r="46">
      <c r="A46" s="10" t="inlineStr">
        <is>
          <t>Cloud Storage</t>
        </is>
      </c>
      <c r="B46" s="10" t="inlineStr">
        <is>
          <t>E5F0-6A5D-7BAD</t>
        </is>
      </c>
      <c r="C46" s="10" t="inlineStr">
        <is>
          <t>Standard Storage US Regional</t>
        </is>
      </c>
      <c r="D46" s="10" t="inlineStr">
        <is>
          <t>Storage / retention</t>
        </is>
      </c>
      <c r="E46" s="10" t="inlineStr">
        <is>
          <t>gibibyte month</t>
        </is>
      </c>
      <c r="F46" s="10" t="n">
        <v>1</v>
      </c>
      <c r="G46" s="14" t="n">
        <v>0</v>
      </c>
      <c r="H46" s="15" t="inlineStr"/>
      <c r="I46" s="10" t="inlineStr">
        <is>
          <t>Default</t>
        </is>
      </c>
    </row>
    <row r="47">
      <c r="A47" s="10" t="inlineStr">
        <is>
          <t>Cloud Tasks</t>
        </is>
      </c>
      <c r="B47" s="10" t="inlineStr">
        <is>
          <t>FE08-0A74-7AFD</t>
        </is>
      </c>
      <c r="C47" s="10" t="inlineStr">
        <is>
          <t>Cloud Tasks GOOGLE-API Data Transfer Out</t>
        </is>
      </c>
      <c r="D47" s="10" t="inlineStr">
        <is>
          <t>Network / egress</t>
        </is>
      </c>
      <c r="E47" s="10" t="inlineStr">
        <is>
          <t>gibibyte</t>
        </is>
      </c>
      <c r="F47" s="10" t="n">
        <v>1</v>
      </c>
      <c r="G47" s="14" t="n">
        <v>0</v>
      </c>
      <c r="H47" s="15" t="inlineStr"/>
      <c r="I47" s="10" t="inlineStr">
        <is>
          <t>Default</t>
        </is>
      </c>
    </row>
    <row r="48">
      <c r="A48" s="10" t="inlineStr">
        <is>
          <t>Cloud Tasks</t>
        </is>
      </c>
      <c r="B48" s="10" t="inlineStr">
        <is>
          <t>378A-D762-1F74</t>
        </is>
      </c>
      <c r="C48" s="10" t="inlineStr">
        <is>
          <t>Operations</t>
        </is>
      </c>
      <c r="D48" s="10" t="inlineStr">
        <is>
          <t>Requests / operations</t>
        </is>
      </c>
      <c r="E48" s="10" t="inlineStr">
        <is>
          <t>count</t>
        </is>
      </c>
      <c r="F48" s="10" t="n">
        <v>1000000</v>
      </c>
      <c r="G48" s="14" t="n">
        <v>0</v>
      </c>
      <c r="H48" s="15" t="inlineStr"/>
      <c r="I48" s="10" t="inlineStr">
        <is>
          <t>Default</t>
        </is>
      </c>
    </row>
    <row r="49">
      <c r="A49" s="10" t="inlineStr">
        <is>
          <t>Secret Manager</t>
        </is>
      </c>
      <c r="B49" s="10" t="inlineStr">
        <is>
          <t>EBA7-264F-2D2C</t>
        </is>
      </c>
      <c r="C49" s="10" t="inlineStr">
        <is>
          <t>Secret access operations</t>
        </is>
      </c>
      <c r="D49" s="10" t="inlineStr">
        <is>
          <t>Requests / operations</t>
        </is>
      </c>
      <c r="E49" s="10" t="inlineStr">
        <is>
          <t>count</t>
        </is>
      </c>
      <c r="F49" s="10" t="n">
        <v>10000</v>
      </c>
      <c r="G49" s="14" t="n">
        <v>0</v>
      </c>
      <c r="H49" s="15" t="inlineStr"/>
      <c r="I49" s="10" t="inlineStr">
        <is>
          <t>Default</t>
        </is>
      </c>
    </row>
    <row r="50">
      <c r="A50" s="10" t="inlineStr">
        <is>
          <t>Secret Manager</t>
        </is>
      </c>
      <c r="B50" s="10" t="inlineStr">
        <is>
          <t>7756-ADEF-84F4</t>
        </is>
      </c>
      <c r="C50" s="10" t="inlineStr">
        <is>
          <t>Secret version replica storage</t>
        </is>
      </c>
      <c r="D50" s="10" t="inlineStr">
        <is>
          <t>Storage / retention</t>
        </is>
      </c>
      <c r="E50" s="10" t="inlineStr">
        <is>
          <t>month</t>
        </is>
      </c>
      <c r="F50" s="10" t="n">
        <v>1</v>
      </c>
      <c r="G50" s="14" t="n">
        <v>0</v>
      </c>
      <c r="H50" s="15" t="inlineStr"/>
      <c r="I50" s="10" t="inlineStr">
        <is>
          <t>Default</t>
        </is>
      </c>
    </row>
  </sheetData>
  <mergeCells count="2">
    <mergeCell ref="A1:I1"/>
    <mergeCell ref="A2:I2"/>
  </mergeCells>
  <dataValidations count="1">
    <dataValidation sqref="G5:G50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52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8" customWidth="1" min="11" max="11"/>
    <col width="18" customWidth="1" min="12" max="12"/>
    <col width="14" customWidth="1" min="13" max="13"/>
    <col width="24" customWidth="1" min="15" max="15"/>
  </cols>
  <sheetData>
    <row r="1" ht="28" customHeight="1">
      <c r="A1" s="1" t="inlineStr">
        <is>
          <t>Expense Estimator</t>
        </is>
      </c>
    </row>
    <row r="2" ht="32" customHeight="1">
      <c r="A2" s="2" t="inlineStr">
        <is>
          <t>Tier-aware monthly cost estimate for Default pricing rows. Costs remain zero until usage is entered on Usage Inputs.</t>
        </is>
      </c>
    </row>
    <row r="3"/>
    <row r="4">
      <c r="A4" s="9" t="inlineStr">
        <is>
          <t>Service</t>
        </is>
      </c>
      <c r="B4" s="9" t="inlineStr">
        <is>
          <t>SKU ID</t>
        </is>
      </c>
      <c r="C4" s="9" t="inlineStr">
        <is>
          <t>SKU description</t>
        </is>
      </c>
      <c r="D4" s="9" t="inlineStr">
        <is>
          <t>Category</t>
        </is>
      </c>
      <c r="E4" s="9" t="inlineStr">
        <is>
          <t>Unit</t>
        </is>
      </c>
      <c r="F4" s="9" t="inlineStr">
        <is>
          <t>Per unit quantity</t>
        </is>
      </c>
      <c r="G4" s="9" t="inlineStr">
        <is>
          <t>Tier start</t>
        </is>
      </c>
      <c r="H4" s="9" t="inlineStr">
        <is>
          <t>Next tier start</t>
        </is>
      </c>
      <c r="I4" s="9" t="inlineStr">
        <is>
          <t>List price (INR)</t>
        </is>
      </c>
      <c r="J4" s="9" t="inlineStr">
        <is>
          <t>Usage</t>
        </is>
      </c>
      <c r="K4" s="9" t="inlineStr">
        <is>
          <t>Billable quantity in tier</t>
        </is>
      </c>
      <c r="L4" s="9" t="inlineStr">
        <is>
          <t>Estimated monthly cost</t>
        </is>
      </c>
      <c r="M4" s="9" t="inlineStr">
        <is>
          <t>Notes</t>
        </is>
      </c>
      <c r="O4" s="7" t="inlineStr">
        <is>
          <t>Estimated monthly total</t>
        </is>
      </c>
    </row>
    <row r="5">
      <c r="A5" s="10" t="inlineStr">
        <is>
          <t>Artifact Registry</t>
        </is>
      </c>
      <c r="B5" s="10" t="inlineStr">
        <is>
          <t>E794-0787-45A9</t>
        </is>
      </c>
      <c r="C5" s="10" t="inlineStr">
        <is>
          <t>Artifact Registry GOOGLE-API Egress</t>
        </is>
      </c>
      <c r="D5" s="10" t="inlineStr">
        <is>
          <t>Network / egress</t>
        </is>
      </c>
      <c r="E5" s="10" t="inlineStr">
        <is>
          <t>gibibyte</t>
        </is>
      </c>
      <c r="F5" s="11" t="n">
        <v>1</v>
      </c>
      <c r="G5" s="11" t="n">
        <v>0</v>
      </c>
      <c r="H5" s="11" t="inlineStr"/>
      <c r="I5" s="12" t="n">
        <v>0</v>
      </c>
      <c r="J5" s="16">
        <f>IFERROR(INDEX('Usage Inputs'!$G:$G,MATCH(B5,'Usage Inputs'!$B:$B,0)),0)</f>
        <v/>
      </c>
      <c r="K5" s="16">
        <f>MAX(0,(IF(H5="",J5,MIN(J5,H5))-G5))</f>
        <v/>
      </c>
      <c r="L5" s="17">
        <f>K5/F5*I5</f>
        <v/>
      </c>
      <c r="M5" s="18" t="inlineStr">
        <is>
          <t>Final tier</t>
        </is>
      </c>
      <c r="O5" s="19">
        <f>SUM(L5:L81)</f>
        <v/>
      </c>
    </row>
    <row r="6">
      <c r="A6" s="10" t="inlineStr">
        <is>
          <t>Artifact Registry</t>
        </is>
      </c>
      <c r="B6" s="10" t="inlineStr">
        <is>
          <t>173D-B415-5815</t>
        </is>
      </c>
      <c r="C6" s="10" t="inlineStr">
        <is>
          <t>Artifact Registry Network Inter Region Egress North America to North America</t>
        </is>
      </c>
      <c r="D6" s="10" t="inlineStr">
        <is>
          <t>Network / egress</t>
        </is>
      </c>
      <c r="E6" s="10" t="inlineStr">
        <is>
          <t>gibibyte</t>
        </is>
      </c>
      <c r="F6" s="11" t="n">
        <v>1</v>
      </c>
      <c r="G6" s="11" t="n">
        <v>0</v>
      </c>
      <c r="H6" s="11" t="inlineStr"/>
      <c r="I6" s="12" t="n">
        <v>0.9455</v>
      </c>
      <c r="J6" s="16">
        <f>IFERROR(INDEX('Usage Inputs'!$G:$G,MATCH(B6,'Usage Inputs'!$B:$B,0)),0)</f>
        <v/>
      </c>
      <c r="K6" s="16">
        <f>MAX(0,(IF(H6="",J6,MIN(J6,H6))-G6))</f>
        <v/>
      </c>
      <c r="L6" s="17">
        <f>K6/F6*I6</f>
        <v/>
      </c>
      <c r="M6" s="18" t="inlineStr">
        <is>
          <t>Final tier</t>
        </is>
      </c>
    </row>
    <row r="7">
      <c r="A7" s="10" t="inlineStr">
        <is>
          <t>Artifact Registry</t>
        </is>
      </c>
      <c r="B7" s="10" t="inlineStr">
        <is>
          <t>72BD-5309-1C4C</t>
        </is>
      </c>
      <c r="C7" s="10" t="inlineStr">
        <is>
          <t>Artifact Registry Network Internet Egress Intercontinental (Excl Oceania, Africa and China)</t>
        </is>
      </c>
      <c r="D7" s="10" t="inlineStr">
        <is>
          <t>Network / egress</t>
        </is>
      </c>
      <c r="E7" s="10" t="inlineStr">
        <is>
          <t>gibibyte</t>
        </is>
      </c>
      <c r="F7" s="11" t="n">
        <v>1</v>
      </c>
      <c r="G7" s="11" t="n">
        <v>0</v>
      </c>
      <c r="H7" s="11" t="n">
        <v>10240</v>
      </c>
      <c r="I7" s="12" t="n">
        <v>11.346</v>
      </c>
      <c r="J7" s="16">
        <f>IFERROR(INDEX('Usage Inputs'!$G:$G,MATCH(B7,'Usage Inputs'!$B:$B,0)),0)</f>
        <v/>
      </c>
      <c r="K7" s="16">
        <f>MAX(0,(IF(H7="",J7,MIN(J7,H7))-G7))</f>
        <v/>
      </c>
      <c r="L7" s="17">
        <f>K7/F7*I7</f>
        <v/>
      </c>
      <c r="M7" s="18" t="inlineStr">
        <is>
          <t>Bounded tier</t>
        </is>
      </c>
      <c r="O7" s="7" t="inlineStr">
        <is>
          <t>Current status</t>
        </is>
      </c>
    </row>
    <row r="8">
      <c r="A8" s="10" t="inlineStr">
        <is>
          <t>Artifact Registry</t>
        </is>
      </c>
      <c r="B8" s="10" t="inlineStr">
        <is>
          <t>72BD-5309-1C4C</t>
        </is>
      </c>
      <c r="C8" s="10" t="inlineStr">
        <is>
          <t>Artifact Registry Network Internet Egress Intercontinental (Excl Oceania, Africa and China)</t>
        </is>
      </c>
      <c r="D8" s="10" t="inlineStr">
        <is>
          <t>Network / egress</t>
        </is>
      </c>
      <c r="E8" s="10" t="inlineStr">
        <is>
          <t>gibibyte</t>
        </is>
      </c>
      <c r="F8" s="11" t="n">
        <v>1</v>
      </c>
      <c r="G8" s="11" t="n">
        <v>10240</v>
      </c>
      <c r="H8" s="11" t="n">
        <v>153600</v>
      </c>
      <c r="I8" s="12" t="n">
        <v>8.03675</v>
      </c>
      <c r="J8" s="16">
        <f>IFERROR(INDEX('Usage Inputs'!$G:$G,MATCH(B8,'Usage Inputs'!$B:$B,0)),0)</f>
        <v/>
      </c>
      <c r="K8" s="16">
        <f>MAX(0,(IF(H8="",J8,MIN(J8,H8))-G8))</f>
        <v/>
      </c>
      <c r="L8" s="17">
        <f>K8/F8*I8</f>
        <v/>
      </c>
      <c r="M8" s="18" t="inlineStr">
        <is>
          <t>Bounded tier</t>
        </is>
      </c>
      <c r="O8" s="20">
        <f>IF(O5=0,"No usage entered","Usage estimate active")</f>
        <v/>
      </c>
    </row>
    <row r="9">
      <c r="A9" s="10" t="inlineStr">
        <is>
          <t>Artifact Registry</t>
        </is>
      </c>
      <c r="B9" s="10" t="inlineStr">
        <is>
          <t>72BD-5309-1C4C</t>
        </is>
      </c>
      <c r="C9" s="10" t="inlineStr">
        <is>
          <t>Artifact Registry Network Internet Egress Intercontinental (Excl Oceania, Africa and China)</t>
        </is>
      </c>
      <c r="D9" s="10" t="inlineStr">
        <is>
          <t>Network / egress</t>
        </is>
      </c>
      <c r="E9" s="10" t="inlineStr">
        <is>
          <t>gibibyte</t>
        </is>
      </c>
      <c r="F9" s="11" t="n">
        <v>1</v>
      </c>
      <c r="G9" s="11" t="n">
        <v>153600</v>
      </c>
      <c r="H9" s="11" t="inlineStr"/>
      <c r="I9" s="12" t="n">
        <v>7.564</v>
      </c>
      <c r="J9" s="16">
        <f>IFERROR(INDEX('Usage Inputs'!$G:$G,MATCH(B9,'Usage Inputs'!$B:$B,0)),0)</f>
        <v/>
      </c>
      <c r="K9" s="16">
        <f>MAX(0,(IF(H9="",J9,MIN(J9,H9))-G9))</f>
        <v/>
      </c>
      <c r="L9" s="17">
        <f>K9/F9*I9</f>
        <v/>
      </c>
      <c r="M9" s="18" t="inlineStr">
        <is>
          <t>Final tier</t>
        </is>
      </c>
    </row>
    <row r="10">
      <c r="A10" s="10" t="inlineStr">
        <is>
          <t>Artifact Registry</t>
        </is>
      </c>
      <c r="B10" s="10" t="inlineStr">
        <is>
          <t>546B-E8F2-6FF5</t>
        </is>
      </c>
      <c r="C10" s="10" t="inlineStr">
        <is>
          <t>Artifact Registry Network Intra Region Egress</t>
        </is>
      </c>
      <c r="D10" s="10" t="inlineStr">
        <is>
          <t>Network / egress</t>
        </is>
      </c>
      <c r="E10" s="10" t="inlineStr">
        <is>
          <t>gibibyte</t>
        </is>
      </c>
      <c r="F10" s="11" t="n">
        <v>1</v>
      </c>
      <c r="G10" s="11" t="n">
        <v>0</v>
      </c>
      <c r="H10" s="11" t="inlineStr"/>
      <c r="I10" s="12" t="n">
        <v>0</v>
      </c>
      <c r="J10" s="16">
        <f>IFERROR(INDEX('Usage Inputs'!$G:$G,MATCH(B10,'Usage Inputs'!$B:$B,0)),0)</f>
        <v/>
      </c>
      <c r="K10" s="16">
        <f>MAX(0,(IF(H10="",J10,MIN(J10,H10))-G10))</f>
        <v/>
      </c>
      <c r="L10" s="17">
        <f>K10/F10*I10</f>
        <v/>
      </c>
      <c r="M10" s="18" t="inlineStr">
        <is>
          <t>Final tier</t>
        </is>
      </c>
    </row>
    <row r="11">
      <c r="A11" s="10" t="inlineStr">
        <is>
          <t>Artifact Registry</t>
        </is>
      </c>
      <c r="B11" s="10" t="inlineStr">
        <is>
          <t>8502-299A-ABAF</t>
        </is>
      </c>
      <c r="C11" s="10" t="inlineStr">
        <is>
          <t>Artifact Registry Storage</t>
        </is>
      </c>
      <c r="D11" s="10" t="inlineStr">
        <is>
          <t>Storage / retention</t>
        </is>
      </c>
      <c r="E11" s="10" t="inlineStr">
        <is>
          <t>gibibyte month</t>
        </is>
      </c>
      <c r="F11" s="11" t="n">
        <v>1</v>
      </c>
      <c r="G11" s="11" t="n">
        <v>0</v>
      </c>
      <c r="H11" s="11" t="n">
        <v>0.5</v>
      </c>
      <c r="I11" s="12" t="n">
        <v>0</v>
      </c>
      <c r="J11" s="16">
        <f>IFERROR(INDEX('Usage Inputs'!$G:$G,MATCH(B11,'Usage Inputs'!$B:$B,0)),0)</f>
        <v/>
      </c>
      <c r="K11" s="16">
        <f>MAX(0,(IF(H11="",J11,MIN(J11,H11))-G11))</f>
        <v/>
      </c>
      <c r="L11" s="17">
        <f>K11/F11*I11</f>
        <v/>
      </c>
      <c r="M11" s="18" t="inlineStr">
        <is>
          <t>Bounded tier</t>
        </is>
      </c>
    </row>
    <row r="12">
      <c r="A12" s="10" t="inlineStr">
        <is>
          <t>Artifact Registry</t>
        </is>
      </c>
      <c r="B12" s="10" t="inlineStr">
        <is>
          <t>8502-299A-ABAF</t>
        </is>
      </c>
      <c r="C12" s="10" t="inlineStr">
        <is>
          <t>Artifact Registry Storage</t>
        </is>
      </c>
      <c r="D12" s="10" t="inlineStr">
        <is>
          <t>Storage / retention</t>
        </is>
      </c>
      <c r="E12" s="10" t="inlineStr">
        <is>
          <t>gibibyte month</t>
        </is>
      </c>
      <c r="F12" s="11" t="n">
        <v>1</v>
      </c>
      <c r="G12" s="11" t="n">
        <v>0.5</v>
      </c>
      <c r="H12" s="11" t="inlineStr"/>
      <c r="I12" s="12" t="n">
        <v>9.455</v>
      </c>
      <c r="J12" s="16">
        <f>IFERROR(INDEX('Usage Inputs'!$G:$G,MATCH(B12,'Usage Inputs'!$B:$B,0)),0)</f>
        <v/>
      </c>
      <c r="K12" s="16">
        <f>MAX(0,(IF(H12="",J12,MIN(J12,H12))-G12))</f>
        <v/>
      </c>
      <c r="L12" s="17">
        <f>K12/F12*I12</f>
        <v/>
      </c>
      <c r="M12" s="18" t="inlineStr">
        <is>
          <t>Final tier</t>
        </is>
      </c>
    </row>
    <row r="13">
      <c r="A13" s="10" t="inlineStr">
        <is>
          <t>Cloud Build</t>
        </is>
      </c>
      <c r="B13" s="10" t="inlineStr">
        <is>
          <t>A464-9020-6404</t>
        </is>
      </c>
      <c r="C13" s="10" t="inlineStr">
        <is>
          <t>Build time e2-standard-2</t>
        </is>
      </c>
      <c r="D13" s="10" t="inlineStr">
        <is>
          <t>Compute time</t>
        </is>
      </c>
      <c r="E13" s="10" t="inlineStr">
        <is>
          <t>minute</t>
        </is>
      </c>
      <c r="F13" s="11" t="n">
        <v>1</v>
      </c>
      <c r="G13" s="11" t="n">
        <v>0</v>
      </c>
      <c r="H13" s="11" t="n">
        <v>2500</v>
      </c>
      <c r="I13" s="12" t="n">
        <v>0</v>
      </c>
      <c r="J13" s="16">
        <f>IFERROR(INDEX('Usage Inputs'!$G:$G,MATCH(B13,'Usage Inputs'!$B:$B,0)),0)</f>
        <v/>
      </c>
      <c r="K13" s="16">
        <f>MAX(0,(IF(H13="",J13,MIN(J13,H13))-G13))</f>
        <v/>
      </c>
      <c r="L13" s="17">
        <f>K13/F13*I13</f>
        <v/>
      </c>
      <c r="M13" s="18" t="inlineStr">
        <is>
          <t>Bounded tier</t>
        </is>
      </c>
    </row>
    <row r="14">
      <c r="A14" s="10" t="inlineStr">
        <is>
          <t>Cloud Build</t>
        </is>
      </c>
      <c r="B14" s="10" t="inlineStr">
        <is>
          <t>A464-9020-6404</t>
        </is>
      </c>
      <c r="C14" s="10" t="inlineStr">
        <is>
          <t>Build time e2-standard-2</t>
        </is>
      </c>
      <c r="D14" s="10" t="inlineStr">
        <is>
          <t>Compute time</t>
        </is>
      </c>
      <c r="E14" s="10" t="inlineStr">
        <is>
          <t>minute</t>
        </is>
      </c>
      <c r="F14" s="11" t="n">
        <v>1</v>
      </c>
      <c r="G14" s="11" t="n">
        <v>2500</v>
      </c>
      <c r="H14" s="11" t="inlineStr"/>
      <c r="I14" s="12" t="n">
        <v>0.5673</v>
      </c>
      <c r="J14" s="16">
        <f>IFERROR(INDEX('Usage Inputs'!$G:$G,MATCH(B14,'Usage Inputs'!$B:$B,0)),0)</f>
        <v/>
      </c>
      <c r="K14" s="16">
        <f>MAX(0,(IF(H14="",J14,MIN(J14,H14))-G14))</f>
        <v/>
      </c>
      <c r="L14" s="17">
        <f>K14/F14*I14</f>
        <v/>
      </c>
      <c r="M14" s="18" t="inlineStr">
        <is>
          <t>Final tier</t>
        </is>
      </c>
    </row>
    <row r="15">
      <c r="A15" s="10" t="inlineStr">
        <is>
          <t>Cloud Build</t>
        </is>
      </c>
      <c r="B15" s="10" t="inlineStr">
        <is>
          <t>D5F9-06F3-71E0</t>
        </is>
      </c>
      <c r="C15" s="10" t="inlineStr">
        <is>
          <t>Cloud Build: Network Data Transfer Out Internet Premium within North America</t>
        </is>
      </c>
      <c r="D15" s="10" t="inlineStr">
        <is>
          <t>Network / egress</t>
        </is>
      </c>
      <c r="E15" s="10" t="inlineStr">
        <is>
          <t>gibibyte</t>
        </is>
      </c>
      <c r="F15" s="11" t="n">
        <v>1</v>
      </c>
      <c r="G15" s="11" t="n">
        <v>0</v>
      </c>
      <c r="H15" s="11" t="n">
        <v>1024</v>
      </c>
      <c r="I15" s="12" t="n">
        <v>11.346</v>
      </c>
      <c r="J15" s="16">
        <f>IFERROR(INDEX('Usage Inputs'!$G:$G,MATCH(B15,'Usage Inputs'!$B:$B,0)),0)</f>
        <v/>
      </c>
      <c r="K15" s="16">
        <f>MAX(0,(IF(H15="",J15,MIN(J15,H15))-G15))</f>
        <v/>
      </c>
      <c r="L15" s="17">
        <f>K15/F15*I15</f>
        <v/>
      </c>
      <c r="M15" s="18" t="inlineStr">
        <is>
          <t>Bounded tier</t>
        </is>
      </c>
    </row>
    <row r="16">
      <c r="A16" s="10" t="inlineStr">
        <is>
          <t>Cloud Build</t>
        </is>
      </c>
      <c r="B16" s="10" t="inlineStr">
        <is>
          <t>D5F9-06F3-71E0</t>
        </is>
      </c>
      <c r="C16" s="10" t="inlineStr">
        <is>
          <t>Cloud Build: Network Data Transfer Out Internet Premium within North America</t>
        </is>
      </c>
      <c r="D16" s="10" t="inlineStr">
        <is>
          <t>Network / egress</t>
        </is>
      </c>
      <c r="E16" s="10" t="inlineStr">
        <is>
          <t>gibibyte</t>
        </is>
      </c>
      <c r="F16" s="11" t="n">
        <v>1</v>
      </c>
      <c r="G16" s="11" t="n">
        <v>1024</v>
      </c>
      <c r="H16" s="11" t="n">
        <v>10240</v>
      </c>
      <c r="I16" s="12" t="n">
        <v>10.4005</v>
      </c>
      <c r="J16" s="16">
        <f>IFERROR(INDEX('Usage Inputs'!$G:$G,MATCH(B16,'Usage Inputs'!$B:$B,0)),0)</f>
        <v/>
      </c>
      <c r="K16" s="16">
        <f>MAX(0,(IF(H16="",J16,MIN(J16,H16))-G16))</f>
        <v/>
      </c>
      <c r="L16" s="17">
        <f>K16/F16*I16</f>
        <v/>
      </c>
      <c r="M16" s="18" t="inlineStr">
        <is>
          <t>Bounded tier</t>
        </is>
      </c>
    </row>
    <row r="17">
      <c r="A17" s="10" t="inlineStr">
        <is>
          <t>Cloud Build</t>
        </is>
      </c>
      <c r="B17" s="10" t="inlineStr">
        <is>
          <t>D5F9-06F3-71E0</t>
        </is>
      </c>
      <c r="C17" s="10" t="inlineStr">
        <is>
          <t>Cloud Build: Network Data Transfer Out Internet Premium within North America</t>
        </is>
      </c>
      <c r="D17" s="10" t="inlineStr">
        <is>
          <t>Network / egress</t>
        </is>
      </c>
      <c r="E17" s="10" t="inlineStr">
        <is>
          <t>gibibyte</t>
        </is>
      </c>
      <c r="F17" s="11" t="n">
        <v>1</v>
      </c>
      <c r="G17" s="11" t="n">
        <v>10240</v>
      </c>
      <c r="H17" s="11" t="inlineStr"/>
      <c r="I17" s="12" t="n">
        <v>7.564</v>
      </c>
      <c r="J17" s="16">
        <f>IFERROR(INDEX('Usage Inputs'!$G:$G,MATCH(B17,'Usage Inputs'!$B:$B,0)),0)</f>
        <v/>
      </c>
      <c r="K17" s="16">
        <f>MAX(0,(IF(H17="",J17,MIN(J17,H17))-G17))</f>
        <v/>
      </c>
      <c r="L17" s="17">
        <f>K17/F17*I17</f>
        <v/>
      </c>
      <c r="M17" s="18" t="inlineStr">
        <is>
          <t>Final tier</t>
        </is>
      </c>
    </row>
    <row r="18">
      <c r="A18" s="10" t="inlineStr">
        <is>
          <t>Cloud DNS</t>
        </is>
      </c>
      <c r="B18" s="10" t="inlineStr">
        <is>
          <t>6DFF-5025-A128</t>
        </is>
      </c>
      <c r="C18" s="10" t="inlineStr">
        <is>
          <t>DNS Query (port 53)</t>
        </is>
      </c>
      <c r="D18" s="10" t="inlineStr">
        <is>
          <t>Requests / operations</t>
        </is>
      </c>
      <c r="E18" s="10" t="inlineStr">
        <is>
          <t>count</t>
        </is>
      </c>
      <c r="F18" s="11" t="n">
        <v>1000000</v>
      </c>
      <c r="G18" s="11" t="n">
        <v>0</v>
      </c>
      <c r="H18" s="11" t="n">
        <v>1000000000</v>
      </c>
      <c r="I18" s="12" t="n">
        <v>37.820000001</v>
      </c>
      <c r="J18" s="16">
        <f>IFERROR(INDEX('Usage Inputs'!$G:$G,MATCH(B18,'Usage Inputs'!$B:$B,0)),0)</f>
        <v/>
      </c>
      <c r="K18" s="16">
        <f>MAX(0,(IF(H18="",J18,MIN(J18,H18))-G18))</f>
        <v/>
      </c>
      <c r="L18" s="17">
        <f>K18/F18*I18</f>
        <v/>
      </c>
      <c r="M18" s="18" t="inlineStr">
        <is>
          <t>Bounded tier</t>
        </is>
      </c>
    </row>
    <row r="19">
      <c r="A19" s="10" t="inlineStr">
        <is>
          <t>Cloud DNS</t>
        </is>
      </c>
      <c r="B19" s="10" t="inlineStr">
        <is>
          <t>6DFF-5025-A128</t>
        </is>
      </c>
      <c r="C19" s="10" t="inlineStr">
        <is>
          <t>DNS Query (port 53)</t>
        </is>
      </c>
      <c r="D19" s="10" t="inlineStr">
        <is>
          <t>Requests / operations</t>
        </is>
      </c>
      <c r="E19" s="10" t="inlineStr">
        <is>
          <t>count</t>
        </is>
      </c>
      <c r="F19" s="11" t="n">
        <v>1000000</v>
      </c>
      <c r="G19" s="11" t="n">
        <v>1000000000</v>
      </c>
      <c r="H19" s="11" t="inlineStr"/>
      <c r="I19" s="12" t="n">
        <v>18.91</v>
      </c>
      <c r="J19" s="16">
        <f>IFERROR(INDEX('Usage Inputs'!$G:$G,MATCH(B19,'Usage Inputs'!$B:$B,0)),0)</f>
        <v/>
      </c>
      <c r="K19" s="16">
        <f>MAX(0,(IF(H19="",J19,MIN(J19,H19))-G19))</f>
        <v/>
      </c>
      <c r="L19" s="17">
        <f>K19/F19*I19</f>
        <v/>
      </c>
      <c r="M19" s="18" t="inlineStr">
        <is>
          <t>Final tier</t>
        </is>
      </c>
    </row>
    <row r="20">
      <c r="A20" s="10" t="inlineStr">
        <is>
          <t>Cloud DNS</t>
        </is>
      </c>
      <c r="B20" s="10" t="inlineStr">
        <is>
          <t>8C22-6FC3-D478</t>
        </is>
      </c>
      <c r="C20" s="10" t="inlineStr">
        <is>
          <t>ManagedZone</t>
        </is>
      </c>
      <c r="D20" s="10" t="inlineStr">
        <is>
          <t>Other</t>
        </is>
      </c>
      <c r="E20" s="10" t="inlineStr">
        <is>
          <t>month</t>
        </is>
      </c>
      <c r="F20" s="11" t="n">
        <v>1</v>
      </c>
      <c r="G20" s="11" t="n">
        <v>0</v>
      </c>
      <c r="H20" s="11" t="n">
        <v>25</v>
      </c>
      <c r="I20" s="12" t="n">
        <v>18.91</v>
      </c>
      <c r="J20" s="16">
        <f>IFERROR(INDEX('Usage Inputs'!$G:$G,MATCH(B20,'Usage Inputs'!$B:$B,0)),0)</f>
        <v/>
      </c>
      <c r="K20" s="16">
        <f>MAX(0,(IF(H20="",J20,MIN(J20,H20))-G20))</f>
        <v/>
      </c>
      <c r="L20" s="17">
        <f>K20/F20*I20</f>
        <v/>
      </c>
      <c r="M20" s="18" t="inlineStr">
        <is>
          <t>Bounded tier</t>
        </is>
      </c>
    </row>
    <row r="21">
      <c r="A21" s="10" t="inlineStr">
        <is>
          <t>Cloud DNS</t>
        </is>
      </c>
      <c r="B21" s="10" t="inlineStr">
        <is>
          <t>8C22-6FC3-D478</t>
        </is>
      </c>
      <c r="C21" s="10" t="inlineStr">
        <is>
          <t>ManagedZone</t>
        </is>
      </c>
      <c r="D21" s="10" t="inlineStr">
        <is>
          <t>Other</t>
        </is>
      </c>
      <c r="E21" s="10" t="inlineStr">
        <is>
          <t>month</t>
        </is>
      </c>
      <c r="F21" s="11" t="n">
        <v>1</v>
      </c>
      <c r="G21" s="11" t="n">
        <v>25</v>
      </c>
      <c r="H21" s="11" t="n">
        <v>10000</v>
      </c>
      <c r="I21" s="12" t="n">
        <v>9.455</v>
      </c>
      <c r="J21" s="16">
        <f>IFERROR(INDEX('Usage Inputs'!$G:$G,MATCH(B21,'Usage Inputs'!$B:$B,0)),0)</f>
        <v/>
      </c>
      <c r="K21" s="16">
        <f>MAX(0,(IF(H21="",J21,MIN(J21,H21))-G21))</f>
        <v/>
      </c>
      <c r="L21" s="17">
        <f>K21/F21*I21</f>
        <v/>
      </c>
      <c r="M21" s="18" t="inlineStr">
        <is>
          <t>Bounded tier</t>
        </is>
      </c>
    </row>
    <row r="22">
      <c r="A22" s="10" t="inlineStr">
        <is>
          <t>Cloud DNS</t>
        </is>
      </c>
      <c r="B22" s="10" t="inlineStr">
        <is>
          <t>8C22-6FC3-D478</t>
        </is>
      </c>
      <c r="C22" s="10" t="inlineStr">
        <is>
          <t>ManagedZone</t>
        </is>
      </c>
      <c r="D22" s="10" t="inlineStr">
        <is>
          <t>Other</t>
        </is>
      </c>
      <c r="E22" s="10" t="inlineStr">
        <is>
          <t>month</t>
        </is>
      </c>
      <c r="F22" s="11" t="n">
        <v>1</v>
      </c>
      <c r="G22" s="11" t="n">
        <v>10000</v>
      </c>
      <c r="H22" s="11" t="inlineStr"/>
      <c r="I22" s="12" t="n">
        <v>2.8365</v>
      </c>
      <c r="J22" s="16">
        <f>IFERROR(INDEX('Usage Inputs'!$G:$G,MATCH(B22,'Usage Inputs'!$B:$B,0)),0)</f>
        <v/>
      </c>
      <c r="K22" s="16">
        <f>MAX(0,(IF(H22="",J22,MIN(J22,H22))-G22))</f>
        <v/>
      </c>
      <c r="L22" s="17">
        <f>K22/F22*I22</f>
        <v/>
      </c>
      <c r="M22" s="18" t="inlineStr">
        <is>
          <t>Final tier</t>
        </is>
      </c>
    </row>
    <row r="23">
      <c r="A23" s="10" t="inlineStr">
        <is>
          <t>Cloud Domains</t>
        </is>
      </c>
      <c r="B23" s="10" t="inlineStr">
        <is>
          <t>6A79-1457-3004</t>
        </is>
      </c>
      <c r="C23" s="10" t="inlineStr">
        <is>
          <t>Subscription for domain with TLD .com - yearly prepay</t>
        </is>
      </c>
      <c r="D23" s="10" t="inlineStr">
        <is>
          <t>Fixed subscription</t>
        </is>
      </c>
      <c r="E23" s="10" t="inlineStr">
        <is>
          <t>year</t>
        </is>
      </c>
      <c r="F23" s="11" t="n">
        <v>1</v>
      </c>
      <c r="G23" s="11" t="n">
        <v>0</v>
      </c>
      <c r="H23" s="11" t="inlineStr"/>
      <c r="I23" s="12" t="n">
        <v>1134.600000048</v>
      </c>
      <c r="J23" s="16">
        <f>IFERROR(INDEX('Usage Inputs'!$G:$G,MATCH(B23,'Usage Inputs'!$B:$B,0)),0)</f>
        <v/>
      </c>
      <c r="K23" s="16">
        <f>MAX(0,(IF(H23="",J23,MIN(J23,H23))-G23))</f>
        <v/>
      </c>
      <c r="L23" s="17">
        <f>K23/F23*I23</f>
        <v/>
      </c>
      <c r="M23" s="18" t="inlineStr">
        <is>
          <t>Final tier</t>
        </is>
      </c>
    </row>
    <row r="24">
      <c r="A24" s="10" t="inlineStr">
        <is>
          <t>Cloud Logging</t>
        </is>
      </c>
      <c r="B24" s="10" t="inlineStr">
        <is>
          <t>143F-A1B0-E0BE</t>
        </is>
      </c>
      <c r="C24" s="10" t="inlineStr">
        <is>
          <t>Log Storage cost</t>
        </is>
      </c>
      <c r="D24" s="10" t="inlineStr">
        <is>
          <t>Storage / retention</t>
        </is>
      </c>
      <c r="E24" s="10" t="inlineStr">
        <is>
          <t>gibibyte</t>
        </is>
      </c>
      <c r="F24" s="11" t="n">
        <v>1</v>
      </c>
      <c r="G24" s="11" t="n">
        <v>0</v>
      </c>
      <c r="H24" s="11" t="n">
        <v>50</v>
      </c>
      <c r="I24" s="12" t="n">
        <v>0</v>
      </c>
      <c r="J24" s="16">
        <f>IFERROR(INDEX('Usage Inputs'!$G:$G,MATCH(B24,'Usage Inputs'!$B:$B,0)),0)</f>
        <v/>
      </c>
      <c r="K24" s="16">
        <f>MAX(0,(IF(H24="",J24,MIN(J24,H24))-G24))</f>
        <v/>
      </c>
      <c r="L24" s="17">
        <f>K24/F24*I24</f>
        <v/>
      </c>
      <c r="M24" s="18" t="inlineStr">
        <is>
          <t>Bounded tier</t>
        </is>
      </c>
    </row>
    <row r="25">
      <c r="A25" s="10" t="inlineStr">
        <is>
          <t>Cloud Logging</t>
        </is>
      </c>
      <c r="B25" s="10" t="inlineStr">
        <is>
          <t>143F-A1B0-E0BE</t>
        </is>
      </c>
      <c r="C25" s="10" t="inlineStr">
        <is>
          <t>Log Storage cost</t>
        </is>
      </c>
      <c r="D25" s="10" t="inlineStr">
        <is>
          <t>Storage / retention</t>
        </is>
      </c>
      <c r="E25" s="10" t="inlineStr">
        <is>
          <t>gibibyte</t>
        </is>
      </c>
      <c r="F25" s="11" t="n">
        <v>1</v>
      </c>
      <c r="G25" s="11" t="n">
        <v>50</v>
      </c>
      <c r="H25" s="11" t="inlineStr"/>
      <c r="I25" s="12" t="n">
        <v>47.275000002</v>
      </c>
      <c r="J25" s="16">
        <f>IFERROR(INDEX('Usage Inputs'!$G:$G,MATCH(B25,'Usage Inputs'!$B:$B,0)),0)</f>
        <v/>
      </c>
      <c r="K25" s="16">
        <f>MAX(0,(IF(H25="",J25,MIN(J25,H25))-G25))</f>
        <v/>
      </c>
      <c r="L25" s="17">
        <f>K25/F25*I25</f>
        <v/>
      </c>
      <c r="M25" s="18" t="inlineStr">
        <is>
          <t>Final tier</t>
        </is>
      </c>
    </row>
    <row r="26">
      <c r="A26" s="10" t="inlineStr">
        <is>
          <t>Cloud Pub/Sub</t>
        </is>
      </c>
      <c r="B26" s="10" t="inlineStr">
        <is>
          <t>027D-B6C7-CCA2</t>
        </is>
      </c>
      <c r="C26" s="10" t="inlineStr">
        <is>
          <t>Message Delivery Basic</t>
        </is>
      </c>
      <c r="D26" s="10" t="inlineStr">
        <is>
          <t>Requests / operations</t>
        </is>
      </c>
      <c r="E26" s="10" t="inlineStr">
        <is>
          <t>tebibyte</t>
        </is>
      </c>
      <c r="F26" s="11" t="n">
        <v>1</v>
      </c>
      <c r="G26" s="11" t="n">
        <v>0</v>
      </c>
      <c r="H26" s="11" t="n">
        <v>0.009765625</v>
      </c>
      <c r="I26" s="12" t="n">
        <v>0</v>
      </c>
      <c r="J26" s="16">
        <f>IFERROR(INDEX('Usage Inputs'!$G:$G,MATCH(B26,'Usage Inputs'!$B:$B,0)),0)</f>
        <v/>
      </c>
      <c r="K26" s="16">
        <f>MAX(0,(IF(H26="",J26,MIN(J26,H26))-G26))</f>
        <v/>
      </c>
      <c r="L26" s="17">
        <f>K26/F26*I26</f>
        <v/>
      </c>
      <c r="M26" s="18" t="inlineStr">
        <is>
          <t>Bounded tier</t>
        </is>
      </c>
    </row>
    <row r="27">
      <c r="A27" s="10" t="inlineStr">
        <is>
          <t>Cloud Pub/Sub</t>
        </is>
      </c>
      <c r="B27" s="10" t="inlineStr">
        <is>
          <t>027D-B6C7-CCA2</t>
        </is>
      </c>
      <c r="C27" s="10" t="inlineStr">
        <is>
          <t>Message Delivery Basic</t>
        </is>
      </c>
      <c r="D27" s="10" t="inlineStr">
        <is>
          <t>Requests / operations</t>
        </is>
      </c>
      <c r="E27" s="10" t="inlineStr">
        <is>
          <t>tebibyte</t>
        </is>
      </c>
      <c r="F27" s="11" t="n">
        <v>1</v>
      </c>
      <c r="G27" s="11" t="n">
        <v>0.009765625</v>
      </c>
      <c r="H27" s="11" t="inlineStr"/>
      <c r="I27" s="12" t="n">
        <v>3782.000000161</v>
      </c>
      <c r="J27" s="16">
        <f>IFERROR(INDEX('Usage Inputs'!$G:$G,MATCH(B27,'Usage Inputs'!$B:$B,0)),0)</f>
        <v/>
      </c>
      <c r="K27" s="16">
        <f>MAX(0,(IF(H27="",J27,MIN(J27,H27))-G27))</f>
        <v/>
      </c>
      <c r="L27" s="17">
        <f>K27/F27*I27</f>
        <v/>
      </c>
      <c r="M27" s="18" t="inlineStr">
        <is>
          <t>Final tier</t>
        </is>
      </c>
    </row>
    <row r="28">
      <c r="A28" s="10" t="inlineStr">
        <is>
          <t>Cloud Run</t>
        </is>
      </c>
      <c r="B28" s="10" t="inlineStr">
        <is>
          <t>0CCB-7057-48DE</t>
        </is>
      </c>
      <c r="C28" s="10" t="inlineStr">
        <is>
          <t>Cloud Run GOOGLE-API Data Transfer Out</t>
        </is>
      </c>
      <c r="D28" s="10" t="inlineStr">
        <is>
          <t>Network / egress</t>
        </is>
      </c>
      <c r="E28" s="10" t="inlineStr">
        <is>
          <t>gibibyte</t>
        </is>
      </c>
      <c r="F28" s="11" t="n">
        <v>1</v>
      </c>
      <c r="G28" s="11" t="n">
        <v>0</v>
      </c>
      <c r="H28" s="11" t="inlineStr"/>
      <c r="I28" s="12" t="n">
        <v>0</v>
      </c>
      <c r="J28" s="16">
        <f>IFERROR(INDEX('Usage Inputs'!$G:$G,MATCH(B28,'Usage Inputs'!$B:$B,0)),0)</f>
        <v/>
      </c>
      <c r="K28" s="16">
        <f>MAX(0,(IF(H28="",J28,MIN(J28,H28))-G28))</f>
        <v/>
      </c>
      <c r="L28" s="17">
        <f>K28/F28*I28</f>
        <v/>
      </c>
      <c r="M28" s="18" t="inlineStr">
        <is>
          <t>Final tier</t>
        </is>
      </c>
    </row>
    <row r="29">
      <c r="A29" s="10" t="inlineStr">
        <is>
          <t>Cloud Run</t>
        </is>
      </c>
      <c r="B29" s="10" t="inlineStr">
        <is>
          <t>D63C-EDCA-4726</t>
        </is>
      </c>
      <c r="C29" s="10" t="inlineStr">
        <is>
          <t>Cloud Run Network Data Transfer Out via Carrier Peering Network - North America Based</t>
        </is>
      </c>
      <c r="D29" s="10" t="inlineStr">
        <is>
          <t>Network / egress</t>
        </is>
      </c>
      <c r="E29" s="10" t="inlineStr">
        <is>
          <t>gibibyte</t>
        </is>
      </c>
      <c r="F29" s="11" t="n">
        <v>1</v>
      </c>
      <c r="G29" s="11" t="n">
        <v>0</v>
      </c>
      <c r="H29" s="11" t="inlineStr"/>
      <c r="I29" s="12" t="n">
        <v>1.891</v>
      </c>
      <c r="J29" s="16">
        <f>IFERROR(INDEX('Usage Inputs'!$G:$G,MATCH(B29,'Usage Inputs'!$B:$B,0)),0)</f>
        <v/>
      </c>
      <c r="K29" s="16">
        <f>MAX(0,(IF(H29="",J29,MIN(J29,H29))-G29))</f>
        <v/>
      </c>
      <c r="L29" s="17">
        <f>K29/F29*I29</f>
        <v/>
      </c>
      <c r="M29" s="18" t="inlineStr">
        <is>
          <t>Final tier</t>
        </is>
      </c>
    </row>
    <row r="30">
      <c r="A30" s="10" t="inlineStr">
        <is>
          <t>Cloud Run</t>
        </is>
      </c>
      <c r="B30" s="10" t="inlineStr">
        <is>
          <t>9B46-8DDB-2AC8</t>
        </is>
      </c>
      <c r="C30" s="10" t="inlineStr">
        <is>
          <t>Cloud Run Network Inter Region Data Transfer Out Intercontinental (Excl Oceania)</t>
        </is>
      </c>
      <c r="D30" s="10" t="inlineStr">
        <is>
          <t>Network / egress</t>
        </is>
      </c>
      <c r="E30" s="10" t="inlineStr">
        <is>
          <t>gibibyte</t>
        </is>
      </c>
      <c r="F30" s="11" t="n">
        <v>1</v>
      </c>
      <c r="G30" s="11" t="n">
        <v>0</v>
      </c>
      <c r="H30" s="11" t="n">
        <v>1</v>
      </c>
      <c r="I30" s="12" t="n">
        <v>0</v>
      </c>
      <c r="J30" s="16">
        <f>IFERROR(INDEX('Usage Inputs'!$G:$G,MATCH(B30,'Usage Inputs'!$B:$B,0)),0)</f>
        <v/>
      </c>
      <c r="K30" s="16">
        <f>MAX(0,(IF(H30="",J30,MIN(J30,H30))-G30))</f>
        <v/>
      </c>
      <c r="L30" s="17">
        <f>K30/F30*I30</f>
        <v/>
      </c>
      <c r="M30" s="18" t="inlineStr">
        <is>
          <t>Bounded tier</t>
        </is>
      </c>
    </row>
    <row r="31">
      <c r="A31" s="10" t="inlineStr">
        <is>
          <t>Cloud Run</t>
        </is>
      </c>
      <c r="B31" s="10" t="inlineStr">
        <is>
          <t>9B46-8DDB-2AC8</t>
        </is>
      </c>
      <c r="C31" s="10" t="inlineStr">
        <is>
          <t>Cloud Run Network Inter Region Data Transfer Out Intercontinental (Excl Oceania)</t>
        </is>
      </c>
      <c r="D31" s="10" t="inlineStr">
        <is>
          <t>Network / egress</t>
        </is>
      </c>
      <c r="E31" s="10" t="inlineStr">
        <is>
          <t>gibibyte</t>
        </is>
      </c>
      <c r="F31" s="11" t="n">
        <v>1</v>
      </c>
      <c r="G31" s="11" t="n">
        <v>1</v>
      </c>
      <c r="H31" s="11" t="inlineStr"/>
      <c r="I31" s="12" t="n">
        <v>7.564</v>
      </c>
      <c r="J31" s="16">
        <f>IFERROR(INDEX('Usage Inputs'!$G:$G,MATCH(B31,'Usage Inputs'!$B:$B,0)),0)</f>
        <v/>
      </c>
      <c r="K31" s="16">
        <f>MAX(0,(IF(H31="",J31,MIN(J31,H31))-G31))</f>
        <v/>
      </c>
      <c r="L31" s="17">
        <f>K31/F31*I31</f>
        <v/>
      </c>
      <c r="M31" s="18" t="inlineStr">
        <is>
          <t>Final tier</t>
        </is>
      </c>
    </row>
    <row r="32">
      <c r="A32" s="10" t="inlineStr">
        <is>
          <t>Cloud Run</t>
        </is>
      </c>
      <c r="B32" s="10" t="inlineStr">
        <is>
          <t>E262-332F-1474</t>
        </is>
      </c>
      <c r="C32" s="10" t="inlineStr">
        <is>
          <t>Cloud Run Network Inter Region Data Transfer Out North America to North America</t>
        </is>
      </c>
      <c r="D32" s="10" t="inlineStr">
        <is>
          <t>Network / egress</t>
        </is>
      </c>
      <c r="E32" s="10" t="inlineStr">
        <is>
          <t>gibibyte</t>
        </is>
      </c>
      <c r="F32" s="11" t="n">
        <v>1</v>
      </c>
      <c r="G32" s="11" t="n">
        <v>0</v>
      </c>
      <c r="H32" s="11" t="n">
        <v>1</v>
      </c>
      <c r="I32" s="12" t="n">
        <v>0</v>
      </c>
      <c r="J32" s="16">
        <f>IFERROR(INDEX('Usage Inputs'!$G:$G,MATCH(B32,'Usage Inputs'!$B:$B,0)),0)</f>
        <v/>
      </c>
      <c r="K32" s="16">
        <f>MAX(0,(IF(H32="",J32,MIN(J32,H32))-G32))</f>
        <v/>
      </c>
      <c r="L32" s="17">
        <f>K32/F32*I32</f>
        <v/>
      </c>
      <c r="M32" s="18" t="inlineStr">
        <is>
          <t>Bounded tier</t>
        </is>
      </c>
    </row>
    <row r="33">
      <c r="A33" s="10" t="inlineStr">
        <is>
          <t>Cloud Run</t>
        </is>
      </c>
      <c r="B33" s="10" t="inlineStr">
        <is>
          <t>E262-332F-1474</t>
        </is>
      </c>
      <c r="C33" s="10" t="inlineStr">
        <is>
          <t>Cloud Run Network Inter Region Data Transfer Out North America to North America</t>
        </is>
      </c>
      <c r="D33" s="10" t="inlineStr">
        <is>
          <t>Network / egress</t>
        </is>
      </c>
      <c r="E33" s="10" t="inlineStr">
        <is>
          <t>gibibyte</t>
        </is>
      </c>
      <c r="F33" s="11" t="n">
        <v>1</v>
      </c>
      <c r="G33" s="11" t="n">
        <v>1</v>
      </c>
      <c r="H33" s="11" t="inlineStr"/>
      <c r="I33" s="12" t="n">
        <v>0.9455</v>
      </c>
      <c r="J33" s="16">
        <f>IFERROR(INDEX('Usage Inputs'!$G:$G,MATCH(B33,'Usage Inputs'!$B:$B,0)),0)</f>
        <v/>
      </c>
      <c r="K33" s="16">
        <f>MAX(0,(IF(H33="",J33,MIN(J33,H33))-G33))</f>
        <v/>
      </c>
      <c r="L33" s="17">
        <f>K33/F33*I33</f>
        <v/>
      </c>
      <c r="M33" s="18" t="inlineStr">
        <is>
          <t>Final tier</t>
        </is>
      </c>
    </row>
    <row r="34">
      <c r="A34" s="10" t="inlineStr">
        <is>
          <t>Cloud Run</t>
        </is>
      </c>
      <c r="B34" s="10" t="inlineStr">
        <is>
          <t>DBAA-7594-B9FA</t>
        </is>
      </c>
      <c r="C34" s="10" t="inlineStr">
        <is>
          <t>Cloud Run Network Internet Data Transfer Out Intercontinental (Excl Oceania, Africa and China)</t>
        </is>
      </c>
      <c r="D34" s="10" t="inlineStr">
        <is>
          <t>Network / egress</t>
        </is>
      </c>
      <c r="E34" s="10" t="inlineStr">
        <is>
          <t>gibibyte</t>
        </is>
      </c>
      <c r="F34" s="11" t="n">
        <v>1</v>
      </c>
      <c r="G34" s="11" t="n">
        <v>0</v>
      </c>
      <c r="H34" s="11" t="n">
        <v>10240</v>
      </c>
      <c r="I34" s="12" t="n">
        <v>11.346</v>
      </c>
      <c r="J34" s="16">
        <f>IFERROR(INDEX('Usage Inputs'!$G:$G,MATCH(B34,'Usage Inputs'!$B:$B,0)),0)</f>
        <v/>
      </c>
      <c r="K34" s="16">
        <f>MAX(0,(IF(H34="",J34,MIN(J34,H34))-G34))</f>
        <v/>
      </c>
      <c r="L34" s="17">
        <f>K34/F34*I34</f>
        <v/>
      </c>
      <c r="M34" s="18" t="inlineStr">
        <is>
          <t>Bounded tier</t>
        </is>
      </c>
    </row>
    <row r="35">
      <c r="A35" s="10" t="inlineStr">
        <is>
          <t>Cloud Run</t>
        </is>
      </c>
      <c r="B35" s="10" t="inlineStr">
        <is>
          <t>DBAA-7594-B9FA</t>
        </is>
      </c>
      <c r="C35" s="10" t="inlineStr">
        <is>
          <t>Cloud Run Network Internet Data Transfer Out Intercontinental (Excl Oceania, Africa and China)</t>
        </is>
      </c>
      <c r="D35" s="10" t="inlineStr">
        <is>
          <t>Network / egress</t>
        </is>
      </c>
      <c r="E35" s="10" t="inlineStr">
        <is>
          <t>gibibyte</t>
        </is>
      </c>
      <c r="F35" s="11" t="n">
        <v>1</v>
      </c>
      <c r="G35" s="11" t="n">
        <v>10240</v>
      </c>
      <c r="H35" s="11" t="n">
        <v>153600</v>
      </c>
      <c r="I35" s="12" t="n">
        <v>8.03675</v>
      </c>
      <c r="J35" s="16">
        <f>IFERROR(INDEX('Usage Inputs'!$G:$G,MATCH(B35,'Usage Inputs'!$B:$B,0)),0)</f>
        <v/>
      </c>
      <c r="K35" s="16">
        <f>MAX(0,(IF(H35="",J35,MIN(J35,H35))-G35))</f>
        <v/>
      </c>
      <c r="L35" s="17">
        <f>K35/F35*I35</f>
        <v/>
      </c>
      <c r="M35" s="18" t="inlineStr">
        <is>
          <t>Bounded tier</t>
        </is>
      </c>
    </row>
    <row r="36">
      <c r="A36" s="10" t="inlineStr">
        <is>
          <t>Cloud Run</t>
        </is>
      </c>
      <c r="B36" s="10" t="inlineStr">
        <is>
          <t>DBAA-7594-B9FA</t>
        </is>
      </c>
      <c r="C36" s="10" t="inlineStr">
        <is>
          <t>Cloud Run Network Internet Data Transfer Out Intercontinental (Excl Oceania, Africa and China)</t>
        </is>
      </c>
      <c r="D36" s="10" t="inlineStr">
        <is>
          <t>Network / egress</t>
        </is>
      </c>
      <c r="E36" s="10" t="inlineStr">
        <is>
          <t>gibibyte</t>
        </is>
      </c>
      <c r="F36" s="11" t="n">
        <v>1</v>
      </c>
      <c r="G36" s="11" t="n">
        <v>153600</v>
      </c>
      <c r="H36" s="11" t="inlineStr"/>
      <c r="I36" s="12" t="n">
        <v>7.564</v>
      </c>
      <c r="J36" s="16">
        <f>IFERROR(INDEX('Usage Inputs'!$G:$G,MATCH(B36,'Usage Inputs'!$B:$B,0)),0)</f>
        <v/>
      </c>
      <c r="K36" s="16">
        <f>MAX(0,(IF(H36="",J36,MIN(J36,H36))-G36))</f>
        <v/>
      </c>
      <c r="L36" s="17">
        <f>K36/F36*I36</f>
        <v/>
      </c>
      <c r="M36" s="18" t="inlineStr">
        <is>
          <t>Final tier</t>
        </is>
      </c>
    </row>
    <row r="37">
      <c r="A37" s="10" t="inlineStr">
        <is>
          <t>Cloud Run</t>
        </is>
      </c>
      <c r="B37" s="10" t="inlineStr">
        <is>
          <t>DF75-E5D2-F9DB</t>
        </is>
      </c>
      <c r="C37" s="10" t="inlineStr">
        <is>
          <t>Cloud Run Network Internet Data Transfer Out Intercontinental from/to Oceania</t>
        </is>
      </c>
      <c r="D37" s="10" t="inlineStr">
        <is>
          <t>Network / egress</t>
        </is>
      </c>
      <c r="E37" s="10" t="inlineStr">
        <is>
          <t>gibibyte</t>
        </is>
      </c>
      <c r="F37" s="11" t="n">
        <v>1</v>
      </c>
      <c r="G37" s="11" t="n">
        <v>0</v>
      </c>
      <c r="H37" s="11" t="n">
        <v>10240</v>
      </c>
      <c r="I37" s="12" t="n">
        <v>17.9645</v>
      </c>
      <c r="J37" s="16">
        <f>IFERROR(INDEX('Usage Inputs'!$G:$G,MATCH(B37,'Usage Inputs'!$B:$B,0)),0)</f>
        <v/>
      </c>
      <c r="K37" s="16">
        <f>MAX(0,(IF(H37="",J37,MIN(J37,H37))-G37))</f>
        <v/>
      </c>
      <c r="L37" s="17">
        <f>K37/F37*I37</f>
        <v/>
      </c>
      <c r="M37" s="18" t="inlineStr">
        <is>
          <t>Bounded tier</t>
        </is>
      </c>
    </row>
    <row r="38">
      <c r="A38" s="10" t="inlineStr">
        <is>
          <t>Cloud Run</t>
        </is>
      </c>
      <c r="B38" s="10" t="inlineStr">
        <is>
          <t>DF75-E5D2-F9DB</t>
        </is>
      </c>
      <c r="C38" s="10" t="inlineStr">
        <is>
          <t>Cloud Run Network Internet Data Transfer Out Intercontinental from/to Oceania</t>
        </is>
      </c>
      <c r="D38" s="10" t="inlineStr">
        <is>
          <t>Network / egress</t>
        </is>
      </c>
      <c r="E38" s="10" t="inlineStr">
        <is>
          <t>gibibyte</t>
        </is>
      </c>
      <c r="F38" s="11" t="n">
        <v>1</v>
      </c>
      <c r="G38" s="11" t="n">
        <v>10240</v>
      </c>
      <c r="H38" s="11" t="n">
        <v>153600</v>
      </c>
      <c r="I38" s="12" t="n">
        <v>15.128</v>
      </c>
      <c r="J38" s="16">
        <f>IFERROR(INDEX('Usage Inputs'!$G:$G,MATCH(B38,'Usage Inputs'!$B:$B,0)),0)</f>
        <v/>
      </c>
      <c r="K38" s="16">
        <f>MAX(0,(IF(H38="",J38,MIN(J38,H38))-G38))</f>
        <v/>
      </c>
      <c r="L38" s="17">
        <f>K38/F38*I38</f>
        <v/>
      </c>
      <c r="M38" s="18" t="inlineStr">
        <is>
          <t>Bounded tier</t>
        </is>
      </c>
    </row>
    <row r="39">
      <c r="A39" s="10" t="inlineStr">
        <is>
          <t>Cloud Run</t>
        </is>
      </c>
      <c r="B39" s="10" t="inlineStr">
        <is>
          <t>DF75-E5D2-F9DB</t>
        </is>
      </c>
      <c r="C39" s="10" t="inlineStr">
        <is>
          <t>Cloud Run Network Internet Data Transfer Out Intercontinental from/to Oceania</t>
        </is>
      </c>
      <c r="D39" s="10" t="inlineStr">
        <is>
          <t>Network / egress</t>
        </is>
      </c>
      <c r="E39" s="10" t="inlineStr">
        <is>
          <t>gibibyte</t>
        </is>
      </c>
      <c r="F39" s="11" t="n">
        <v>1</v>
      </c>
      <c r="G39" s="11" t="n">
        <v>153600</v>
      </c>
      <c r="H39" s="11" t="inlineStr"/>
      <c r="I39" s="12" t="n">
        <v>14.1825</v>
      </c>
      <c r="J39" s="16">
        <f>IFERROR(INDEX('Usage Inputs'!$G:$G,MATCH(B39,'Usage Inputs'!$B:$B,0)),0)</f>
        <v/>
      </c>
      <c r="K39" s="16">
        <f>MAX(0,(IF(H39="",J39,MIN(J39,H39))-G39))</f>
        <v/>
      </c>
      <c r="L39" s="17">
        <f>K39/F39*I39</f>
        <v/>
      </c>
      <c r="M39" s="18" t="inlineStr">
        <is>
          <t>Final tier</t>
        </is>
      </c>
    </row>
    <row r="40">
      <c r="A40" s="10" t="inlineStr">
        <is>
          <t>Cloud Run</t>
        </is>
      </c>
      <c r="B40" s="10" t="inlineStr">
        <is>
          <t>DDFD-AE42-E219</t>
        </is>
      </c>
      <c r="C40" s="10" t="inlineStr">
        <is>
          <t>Cloud Run Network Internet Data Transfer Out North America to North America</t>
        </is>
      </c>
      <c r="D40" s="10" t="inlineStr">
        <is>
          <t>Network / egress</t>
        </is>
      </c>
      <c r="E40" s="10" t="inlineStr">
        <is>
          <t>gibibyte</t>
        </is>
      </c>
      <c r="F40" s="11" t="n">
        <v>1</v>
      </c>
      <c r="G40" s="11" t="n">
        <v>0</v>
      </c>
      <c r="H40" s="11" t="n">
        <v>1</v>
      </c>
      <c r="I40" s="12" t="n">
        <v>0</v>
      </c>
      <c r="J40" s="16">
        <f>IFERROR(INDEX('Usage Inputs'!$G:$G,MATCH(B40,'Usage Inputs'!$B:$B,0)),0)</f>
        <v/>
      </c>
      <c r="K40" s="16">
        <f>MAX(0,(IF(H40="",J40,MIN(J40,H40))-G40))</f>
        <v/>
      </c>
      <c r="L40" s="17">
        <f>K40/F40*I40</f>
        <v/>
      </c>
      <c r="M40" s="18" t="inlineStr">
        <is>
          <t>Bounded tier</t>
        </is>
      </c>
    </row>
    <row r="41">
      <c r="A41" s="10" t="inlineStr">
        <is>
          <t>Cloud Run</t>
        </is>
      </c>
      <c r="B41" s="10" t="inlineStr">
        <is>
          <t>DDFD-AE42-E219</t>
        </is>
      </c>
      <c r="C41" s="10" t="inlineStr">
        <is>
          <t>Cloud Run Network Internet Data Transfer Out North America to North America</t>
        </is>
      </c>
      <c r="D41" s="10" t="inlineStr">
        <is>
          <t>Network / egress</t>
        </is>
      </c>
      <c r="E41" s="10" t="inlineStr">
        <is>
          <t>gibibyte</t>
        </is>
      </c>
      <c r="F41" s="11" t="n">
        <v>1</v>
      </c>
      <c r="G41" s="11" t="n">
        <v>1</v>
      </c>
      <c r="H41" s="11" t="n">
        <v>10240</v>
      </c>
      <c r="I41" s="12" t="n">
        <v>9.92775</v>
      </c>
      <c r="J41" s="16">
        <f>IFERROR(INDEX('Usage Inputs'!$G:$G,MATCH(B41,'Usage Inputs'!$B:$B,0)),0)</f>
        <v/>
      </c>
      <c r="K41" s="16">
        <f>MAX(0,(IF(H41="",J41,MIN(J41,H41))-G41))</f>
        <v/>
      </c>
      <c r="L41" s="17">
        <f>K41/F41*I41</f>
        <v/>
      </c>
      <c r="M41" s="18" t="inlineStr">
        <is>
          <t>Bounded tier</t>
        </is>
      </c>
    </row>
    <row r="42">
      <c r="A42" s="10" t="inlineStr">
        <is>
          <t>Cloud Run</t>
        </is>
      </c>
      <c r="B42" s="10" t="inlineStr">
        <is>
          <t>DDFD-AE42-E219</t>
        </is>
      </c>
      <c r="C42" s="10" t="inlineStr">
        <is>
          <t>Cloud Run Network Internet Data Transfer Out North America to North America</t>
        </is>
      </c>
      <c r="D42" s="10" t="inlineStr">
        <is>
          <t>Network / egress</t>
        </is>
      </c>
      <c r="E42" s="10" t="inlineStr">
        <is>
          <t>gibibyte</t>
        </is>
      </c>
      <c r="F42" s="11" t="n">
        <v>1</v>
      </c>
      <c r="G42" s="11" t="n">
        <v>10240</v>
      </c>
      <c r="H42" s="11" t="n">
        <v>153600</v>
      </c>
      <c r="I42" s="12" t="n">
        <v>7.564</v>
      </c>
      <c r="J42" s="16">
        <f>IFERROR(INDEX('Usage Inputs'!$G:$G,MATCH(B42,'Usage Inputs'!$B:$B,0)),0)</f>
        <v/>
      </c>
      <c r="K42" s="16">
        <f>MAX(0,(IF(H42="",J42,MIN(J42,H42))-G42))</f>
        <v/>
      </c>
      <c r="L42" s="17">
        <f>K42/F42*I42</f>
        <v/>
      </c>
      <c r="M42" s="18" t="inlineStr">
        <is>
          <t>Bounded tier</t>
        </is>
      </c>
    </row>
    <row r="43">
      <c r="A43" s="10" t="inlineStr">
        <is>
          <t>Cloud Run</t>
        </is>
      </c>
      <c r="B43" s="10" t="inlineStr">
        <is>
          <t>DDFD-AE42-E219</t>
        </is>
      </c>
      <c r="C43" s="10" t="inlineStr">
        <is>
          <t>Cloud Run Network Internet Data Transfer Out North America to North America</t>
        </is>
      </c>
      <c r="D43" s="10" t="inlineStr">
        <is>
          <t>Network / egress</t>
        </is>
      </c>
      <c r="E43" s="10" t="inlineStr">
        <is>
          <t>gibibyte</t>
        </is>
      </c>
      <c r="F43" s="11" t="n">
        <v>1</v>
      </c>
      <c r="G43" s="11" t="n">
        <v>153600</v>
      </c>
      <c r="H43" s="11" t="inlineStr"/>
      <c r="I43" s="12" t="n">
        <v>5.673</v>
      </c>
      <c r="J43" s="16">
        <f>IFERROR(INDEX('Usage Inputs'!$G:$G,MATCH(B43,'Usage Inputs'!$B:$B,0)),0)</f>
        <v/>
      </c>
      <c r="K43" s="16">
        <f>MAX(0,(IF(H43="",J43,MIN(J43,H43))-G43))</f>
        <v/>
      </c>
      <c r="L43" s="17">
        <f>K43/F43*I43</f>
        <v/>
      </c>
      <c r="M43" s="18" t="inlineStr">
        <is>
          <t>Final tier</t>
        </is>
      </c>
    </row>
    <row r="44">
      <c r="A44" s="10" t="inlineStr">
        <is>
          <t>Cloud Run</t>
        </is>
      </c>
      <c r="B44" s="10" t="inlineStr">
        <is>
          <t>EF10-B23A-2545</t>
        </is>
      </c>
      <c r="C44" s="10" t="inlineStr">
        <is>
          <t>Cloud Run Network Intra Region Data Transfer</t>
        </is>
      </c>
      <c r="D44" s="10" t="inlineStr">
        <is>
          <t>Network / egress</t>
        </is>
      </c>
      <c r="E44" s="10" t="inlineStr">
        <is>
          <t>gibibyte</t>
        </is>
      </c>
      <c r="F44" s="11" t="n">
        <v>1</v>
      </c>
      <c r="G44" s="11" t="n">
        <v>0</v>
      </c>
      <c r="H44" s="11" t="inlineStr"/>
      <c r="I44" s="12" t="n">
        <v>0</v>
      </c>
      <c r="J44" s="16">
        <f>IFERROR(INDEX('Usage Inputs'!$G:$G,MATCH(B44,'Usage Inputs'!$B:$B,0)),0)</f>
        <v/>
      </c>
      <c r="K44" s="16">
        <f>MAX(0,(IF(H44="",J44,MIN(J44,H44))-G44))</f>
        <v/>
      </c>
      <c r="L44" s="17">
        <f>K44/F44*I44</f>
        <v/>
      </c>
      <c r="M44" s="18" t="inlineStr">
        <is>
          <t>Final tier</t>
        </is>
      </c>
    </row>
    <row r="45">
      <c r="A45" s="10" t="inlineStr">
        <is>
          <t>Cloud Run</t>
        </is>
      </c>
      <c r="B45" s="10" t="inlineStr">
        <is>
          <t>257B-2A84-3396</t>
        </is>
      </c>
      <c r="C45" s="10" t="inlineStr">
        <is>
          <t>Jobs CPU in us-central1</t>
        </is>
      </c>
      <c r="D45" s="10" t="inlineStr">
        <is>
          <t>Compute time</t>
        </is>
      </c>
      <c r="E45" s="10" t="inlineStr">
        <is>
          <t>second</t>
        </is>
      </c>
      <c r="F45" s="11" t="n">
        <v>1</v>
      </c>
      <c r="G45" s="11" t="n">
        <v>0</v>
      </c>
      <c r="H45" s="11" t="inlineStr"/>
      <c r="I45" s="12" t="n">
        <v>0.0017019</v>
      </c>
      <c r="J45" s="16">
        <f>IFERROR(INDEX('Usage Inputs'!$G:$G,MATCH(B45,'Usage Inputs'!$B:$B,0)),0)</f>
        <v/>
      </c>
      <c r="K45" s="16">
        <f>MAX(0,(IF(H45="",J45,MIN(J45,H45))-G45))</f>
        <v/>
      </c>
      <c r="L45" s="17">
        <f>K45/F45*I45</f>
        <v/>
      </c>
      <c r="M45" s="18" t="inlineStr">
        <is>
          <t>Final tier</t>
        </is>
      </c>
    </row>
    <row r="46">
      <c r="A46" s="10" t="inlineStr">
        <is>
          <t>Cloud Run</t>
        </is>
      </c>
      <c r="B46" s="10" t="inlineStr">
        <is>
          <t>8A79-9F45-5F32</t>
        </is>
      </c>
      <c r="C46" s="10" t="inlineStr">
        <is>
          <t>Jobs Memory in us-central1</t>
        </is>
      </c>
      <c r="D46" s="10" t="inlineStr">
        <is>
          <t>Compute time</t>
        </is>
      </c>
      <c r="E46" s="10" t="inlineStr">
        <is>
          <t>gibibyte second</t>
        </is>
      </c>
      <c r="F46" s="11" t="n">
        <v>1</v>
      </c>
      <c r="G46" s="11" t="n">
        <v>0</v>
      </c>
      <c r="H46" s="11" t="inlineStr"/>
      <c r="I46" s="12" t="n">
        <v>0.0001891</v>
      </c>
      <c r="J46" s="16">
        <f>IFERROR(INDEX('Usage Inputs'!$G:$G,MATCH(B46,'Usage Inputs'!$B:$B,0)),0)</f>
        <v/>
      </c>
      <c r="K46" s="16">
        <f>MAX(0,(IF(H46="",J46,MIN(J46,H46))-G46))</f>
        <v/>
      </c>
      <c r="L46" s="17">
        <f>K46/F46*I46</f>
        <v/>
      </c>
      <c r="M46" s="18" t="inlineStr">
        <is>
          <t>Final tier</t>
        </is>
      </c>
    </row>
    <row r="47">
      <c r="A47" s="10" t="inlineStr">
        <is>
          <t>Cloud Run</t>
        </is>
      </c>
      <c r="B47" s="10" t="inlineStr">
        <is>
          <t>2DA5-55D3-E679</t>
        </is>
      </c>
      <c r="C47" s="10" t="inlineStr">
        <is>
          <t>Requests</t>
        </is>
      </c>
      <c r="D47" s="10" t="inlineStr">
        <is>
          <t>Requests / operations</t>
        </is>
      </c>
      <c r="E47" s="10" t="inlineStr">
        <is>
          <t>count</t>
        </is>
      </c>
      <c r="F47" s="11" t="n">
        <v>1000000</v>
      </c>
      <c r="G47" s="11" t="n">
        <v>0</v>
      </c>
      <c r="H47" s="11" t="n">
        <v>2000000</v>
      </c>
      <c r="I47" s="12" t="n">
        <v>0</v>
      </c>
      <c r="J47" s="16">
        <f>IFERROR(INDEX('Usage Inputs'!$G:$G,MATCH(B47,'Usage Inputs'!$B:$B,0)),0)</f>
        <v/>
      </c>
      <c r="K47" s="16">
        <f>MAX(0,(IF(H47="",J47,MIN(J47,H47))-G47))</f>
        <v/>
      </c>
      <c r="L47" s="17">
        <f>K47/F47*I47</f>
        <v/>
      </c>
      <c r="M47" s="18" t="inlineStr">
        <is>
          <t>Bounded tier</t>
        </is>
      </c>
    </row>
    <row r="48">
      <c r="A48" s="10" t="inlineStr">
        <is>
          <t>Cloud Run</t>
        </is>
      </c>
      <c r="B48" s="10" t="inlineStr">
        <is>
          <t>2DA5-55D3-E679</t>
        </is>
      </c>
      <c r="C48" s="10" t="inlineStr">
        <is>
          <t>Requests</t>
        </is>
      </c>
      <c r="D48" s="10" t="inlineStr">
        <is>
          <t>Requests / operations</t>
        </is>
      </c>
      <c r="E48" s="10" t="inlineStr">
        <is>
          <t>count</t>
        </is>
      </c>
      <c r="F48" s="11" t="n">
        <v>1000000</v>
      </c>
      <c r="G48" s="11" t="n">
        <v>2000000</v>
      </c>
      <c r="H48" s="11" t="inlineStr"/>
      <c r="I48" s="12" t="n">
        <v>37.820000001</v>
      </c>
      <c r="J48" s="16">
        <f>IFERROR(INDEX('Usage Inputs'!$G:$G,MATCH(B48,'Usage Inputs'!$B:$B,0)),0)</f>
        <v/>
      </c>
      <c r="K48" s="16">
        <f>MAX(0,(IF(H48="",J48,MIN(J48,H48))-G48))</f>
        <v/>
      </c>
      <c r="L48" s="17">
        <f>K48/F48*I48</f>
        <v/>
      </c>
      <c r="M48" s="18" t="inlineStr">
        <is>
          <t>Final tier</t>
        </is>
      </c>
    </row>
    <row r="49">
      <c r="A49" s="10" t="inlineStr">
        <is>
          <t>Cloud Run</t>
        </is>
      </c>
      <c r="B49" s="10" t="inlineStr">
        <is>
          <t>4856-B847-F1EB</t>
        </is>
      </c>
      <c r="C49" s="10" t="inlineStr">
        <is>
          <t>Services CPU (Request-based billing)</t>
        </is>
      </c>
      <c r="D49" s="10" t="inlineStr">
        <is>
          <t>Compute time</t>
        </is>
      </c>
      <c r="E49" s="10" t="inlineStr">
        <is>
          <t>second</t>
        </is>
      </c>
      <c r="F49" s="11" t="n">
        <v>1</v>
      </c>
      <c r="G49" s="11" t="n">
        <v>0</v>
      </c>
      <c r="H49" s="11" t="inlineStr"/>
      <c r="I49" s="12" t="n">
        <v>0.0022692</v>
      </c>
      <c r="J49" s="16">
        <f>IFERROR(INDEX('Usage Inputs'!$G:$G,MATCH(B49,'Usage Inputs'!$B:$B,0)),0)</f>
        <v/>
      </c>
      <c r="K49" s="16">
        <f>MAX(0,(IF(H49="",J49,MIN(J49,H49))-G49))</f>
        <v/>
      </c>
      <c r="L49" s="17">
        <f>K49/F49*I49</f>
        <v/>
      </c>
      <c r="M49" s="18" t="inlineStr">
        <is>
          <t>Final tier</t>
        </is>
      </c>
    </row>
    <row r="50">
      <c r="A50" s="10" t="inlineStr">
        <is>
          <t>Cloud Run</t>
        </is>
      </c>
      <c r="B50" s="10" t="inlineStr">
        <is>
          <t>02A2-9231-36A6</t>
        </is>
      </c>
      <c r="C50" s="10" t="inlineStr">
        <is>
          <t>Services Memory (Request-based billing)</t>
        </is>
      </c>
      <c r="D50" s="10" t="inlineStr">
        <is>
          <t>Compute time</t>
        </is>
      </c>
      <c r="E50" s="10" t="inlineStr">
        <is>
          <t>gibibyte second</t>
        </is>
      </c>
      <c r="F50" s="11" t="n">
        <v>1</v>
      </c>
      <c r="G50" s="11" t="n">
        <v>0</v>
      </c>
      <c r="H50" s="11" t="inlineStr"/>
      <c r="I50" s="12" t="n">
        <v>0.000236375</v>
      </c>
      <c r="J50" s="16">
        <f>IFERROR(INDEX('Usage Inputs'!$G:$G,MATCH(B50,'Usage Inputs'!$B:$B,0)),0)</f>
        <v/>
      </c>
      <c r="K50" s="16">
        <f>MAX(0,(IF(H50="",J50,MIN(J50,H50))-G50))</f>
        <v/>
      </c>
      <c r="L50" s="17">
        <f>K50/F50*I50</f>
        <v/>
      </c>
      <c r="M50" s="18" t="inlineStr">
        <is>
          <t>Final tier</t>
        </is>
      </c>
    </row>
    <row r="51">
      <c r="A51" s="10" t="inlineStr">
        <is>
          <t>Cloud Run</t>
        </is>
      </c>
      <c r="B51" s="10" t="inlineStr">
        <is>
          <t>7EBB-8579-2C98</t>
        </is>
      </c>
      <c r="C51" s="10" t="inlineStr">
        <is>
          <t>Services Min Instance CPU (Request-based billing)</t>
        </is>
      </c>
      <c r="D51" s="10" t="inlineStr">
        <is>
          <t>Compute time</t>
        </is>
      </c>
      <c r="E51" s="10" t="inlineStr">
        <is>
          <t>second</t>
        </is>
      </c>
      <c r="F51" s="11" t="n">
        <v>1</v>
      </c>
      <c r="G51" s="11" t="n">
        <v>0</v>
      </c>
      <c r="H51" s="11" t="inlineStr"/>
      <c r="I51" s="12" t="n">
        <v>0.000236375</v>
      </c>
      <c r="J51" s="16">
        <f>IFERROR(INDEX('Usage Inputs'!$G:$G,MATCH(B51,'Usage Inputs'!$B:$B,0)),0)</f>
        <v/>
      </c>
      <c r="K51" s="16">
        <f>MAX(0,(IF(H51="",J51,MIN(J51,H51))-G51))</f>
        <v/>
      </c>
      <c r="L51" s="17">
        <f>K51/F51*I51</f>
        <v/>
      </c>
      <c r="M51" s="18" t="inlineStr">
        <is>
          <t>Final tier</t>
        </is>
      </c>
    </row>
    <row r="52">
      <c r="A52" s="10" t="inlineStr">
        <is>
          <t>Cloud Run</t>
        </is>
      </c>
      <c r="B52" s="10" t="inlineStr">
        <is>
          <t>740D-08F2-7A11</t>
        </is>
      </c>
      <c r="C52" s="10" t="inlineStr">
        <is>
          <t>Services Min Instance Memory (Request-based billing)</t>
        </is>
      </c>
      <c r="D52" s="10" t="inlineStr">
        <is>
          <t>Compute time</t>
        </is>
      </c>
      <c r="E52" s="10" t="inlineStr">
        <is>
          <t>gibibyte second</t>
        </is>
      </c>
      <c r="F52" s="11" t="n">
        <v>1</v>
      </c>
      <c r="G52" s="11" t="n">
        <v>0</v>
      </c>
      <c r="H52" s="11" t="inlineStr"/>
      <c r="I52" s="12" t="n">
        <v>0.000236375</v>
      </c>
      <c r="J52" s="16">
        <f>IFERROR(INDEX('Usage Inputs'!$G:$G,MATCH(B52,'Usage Inputs'!$B:$B,0)),0)</f>
        <v/>
      </c>
      <c r="K52" s="16">
        <f>MAX(0,(IF(H52="",J52,MIN(J52,H52))-G52))</f>
        <v/>
      </c>
      <c r="L52" s="17">
        <f>K52/F52*I52</f>
        <v/>
      </c>
      <c r="M52" s="18" t="inlineStr">
        <is>
          <t>Final tier</t>
        </is>
      </c>
    </row>
    <row r="53">
      <c r="A53" s="10" t="inlineStr">
        <is>
          <t>Cloud SQL</t>
        </is>
      </c>
      <c r="B53" s="10" t="inlineStr">
        <is>
          <t>00AF-5292-3D5D</t>
        </is>
      </c>
      <c r="C53" s="10" t="inlineStr">
        <is>
          <t>CloudSQL Free Tier Data Cache Storage</t>
        </is>
      </c>
      <c r="D53" s="10" t="inlineStr">
        <is>
          <t>Storage / retention</t>
        </is>
      </c>
      <c r="E53" s="10" t="inlineStr">
        <is>
          <t>gibibyte month</t>
        </is>
      </c>
      <c r="F53" s="11" t="n">
        <v>1</v>
      </c>
      <c r="G53" s="11" t="n">
        <v>0</v>
      </c>
      <c r="H53" s="11" t="inlineStr"/>
      <c r="I53" s="12" t="n">
        <v>0</v>
      </c>
      <c r="J53" s="16">
        <f>IFERROR(INDEX('Usage Inputs'!$G:$G,MATCH(B53,'Usage Inputs'!$B:$B,0)),0)</f>
        <v/>
      </c>
      <c r="K53" s="16">
        <f>MAX(0,(IF(H53="",J53,MIN(J53,H53))-G53))</f>
        <v/>
      </c>
      <c r="L53" s="17">
        <f>K53/F53*I53</f>
        <v/>
      </c>
      <c r="M53" s="18" t="inlineStr">
        <is>
          <t>Final tier</t>
        </is>
      </c>
    </row>
    <row r="54">
      <c r="A54" s="10" t="inlineStr">
        <is>
          <t>Cloud SQL</t>
        </is>
      </c>
      <c r="B54" s="10" t="inlineStr">
        <is>
          <t>211D-2EB8-B4E3</t>
        </is>
      </c>
      <c r="C54" s="10" t="inlineStr">
        <is>
          <t>CloudSQL Free Tier Instance RAM</t>
        </is>
      </c>
      <c r="D54" s="10" t="inlineStr">
        <is>
          <t>Other</t>
        </is>
      </c>
      <c r="E54" s="10" t="inlineStr">
        <is>
          <t>gibibyte hour</t>
        </is>
      </c>
      <c r="F54" s="11" t="n">
        <v>1</v>
      </c>
      <c r="G54" s="11" t="n">
        <v>0</v>
      </c>
      <c r="H54" s="11" t="inlineStr"/>
      <c r="I54" s="12" t="n">
        <v>0</v>
      </c>
      <c r="J54" s="16">
        <f>IFERROR(INDEX('Usage Inputs'!$G:$G,MATCH(B54,'Usage Inputs'!$B:$B,0)),0)</f>
        <v/>
      </c>
      <c r="K54" s="16">
        <f>MAX(0,(IF(H54="",J54,MIN(J54,H54))-G54))</f>
        <v/>
      </c>
      <c r="L54" s="17">
        <f>K54/F54*I54</f>
        <v/>
      </c>
      <c r="M54" s="18" t="inlineStr">
        <is>
          <t>Final tier</t>
        </is>
      </c>
    </row>
    <row r="55">
      <c r="A55" s="10" t="inlineStr">
        <is>
          <t>Cloud SQL</t>
        </is>
      </c>
      <c r="B55" s="10" t="inlineStr">
        <is>
          <t>A20B-E6B8-A643</t>
        </is>
      </c>
      <c r="C55" s="10" t="inlineStr">
        <is>
          <t>CloudSQL Free Tier Instance vCPU Cores</t>
        </is>
      </c>
      <c r="D55" s="10" t="inlineStr">
        <is>
          <t>Compute time</t>
        </is>
      </c>
      <c r="E55" s="10" t="inlineStr">
        <is>
          <t>hour</t>
        </is>
      </c>
      <c r="F55" s="11" t="n">
        <v>1</v>
      </c>
      <c r="G55" s="11" t="n">
        <v>0</v>
      </c>
      <c r="H55" s="11" t="inlineStr"/>
      <c r="I55" s="12" t="n">
        <v>0</v>
      </c>
      <c r="J55" s="16">
        <f>IFERROR(INDEX('Usage Inputs'!$G:$G,MATCH(B55,'Usage Inputs'!$B:$B,0)),0)</f>
        <v/>
      </c>
      <c r="K55" s="16">
        <f>MAX(0,(IF(H55="",J55,MIN(J55,H55))-G55))</f>
        <v/>
      </c>
      <c r="L55" s="17">
        <f>K55/F55*I55</f>
        <v/>
      </c>
      <c r="M55" s="18" t="inlineStr">
        <is>
          <t>Final tier</t>
        </is>
      </c>
    </row>
    <row r="56">
      <c r="A56" s="10" t="inlineStr">
        <is>
          <t>Cloud SQL</t>
        </is>
      </c>
      <c r="B56" s="10" t="inlineStr">
        <is>
          <t>E577-1705-5479</t>
        </is>
      </c>
      <c r="C56" s="10" t="inlineStr">
        <is>
          <t>CloudSQL Free Tier Standard storage</t>
        </is>
      </c>
      <c r="D56" s="10" t="inlineStr">
        <is>
          <t>Storage / retention</t>
        </is>
      </c>
      <c r="E56" s="10" t="inlineStr">
        <is>
          <t>gibibyte month</t>
        </is>
      </c>
      <c r="F56" s="11" t="n">
        <v>1</v>
      </c>
      <c r="G56" s="11" t="n">
        <v>0</v>
      </c>
      <c r="H56" s="11" t="inlineStr"/>
      <c r="I56" s="12" t="n">
        <v>0</v>
      </c>
      <c r="J56" s="16">
        <f>IFERROR(INDEX('Usage Inputs'!$G:$G,MATCH(B56,'Usage Inputs'!$B:$B,0)),0)</f>
        <v/>
      </c>
      <c r="K56" s="16">
        <f>MAX(0,(IF(H56="",J56,MIN(J56,H56))-G56))</f>
        <v/>
      </c>
      <c r="L56" s="17">
        <f>K56/F56*I56</f>
        <v/>
      </c>
      <c r="M56" s="18" t="inlineStr">
        <is>
          <t>Final tier</t>
        </is>
      </c>
    </row>
    <row r="57">
      <c r="A57" s="10" t="inlineStr">
        <is>
          <t>Cloud Scheduler</t>
        </is>
      </c>
      <c r="B57" s="10" t="inlineStr">
        <is>
          <t>A5D6-43A2-28A7</t>
        </is>
      </c>
      <c r="C57" s="10" t="inlineStr">
        <is>
          <t>Jobs</t>
        </is>
      </c>
      <c r="D57" s="10" t="inlineStr">
        <is>
          <t>Other</t>
        </is>
      </c>
      <c r="E57" s="10" t="inlineStr">
        <is>
          <t>count</t>
        </is>
      </c>
      <c r="F57" s="11" t="n">
        <v>31</v>
      </c>
      <c r="G57" s="11" t="n">
        <v>0</v>
      </c>
      <c r="H57" s="11" t="n">
        <v>93</v>
      </c>
      <c r="I57" s="12" t="n">
        <v>0</v>
      </c>
      <c r="J57" s="16">
        <f>IFERROR(INDEX('Usage Inputs'!$G:$G,MATCH(B57,'Usage Inputs'!$B:$B,0)),0)</f>
        <v/>
      </c>
      <c r="K57" s="16">
        <f>MAX(0,(IF(H57="",J57,MIN(J57,H57))-G57))</f>
        <v/>
      </c>
      <c r="L57" s="17">
        <f>K57/F57*I57</f>
        <v/>
      </c>
      <c r="M57" s="18" t="inlineStr">
        <is>
          <t>Bounded tier</t>
        </is>
      </c>
    </row>
    <row r="58">
      <c r="A58" s="10" t="inlineStr">
        <is>
          <t>Cloud Scheduler</t>
        </is>
      </c>
      <c r="B58" s="10" t="inlineStr">
        <is>
          <t>A5D6-43A2-28A7</t>
        </is>
      </c>
      <c r="C58" s="10" t="inlineStr">
        <is>
          <t>Jobs</t>
        </is>
      </c>
      <c r="D58" s="10" t="inlineStr">
        <is>
          <t>Other</t>
        </is>
      </c>
      <c r="E58" s="10" t="inlineStr">
        <is>
          <t>count</t>
        </is>
      </c>
      <c r="F58" s="11" t="n">
        <v>31</v>
      </c>
      <c r="G58" s="11" t="n">
        <v>93</v>
      </c>
      <c r="H58" s="11" t="inlineStr"/>
      <c r="I58" s="12" t="n">
        <v>9.455</v>
      </c>
      <c r="J58" s="16">
        <f>IFERROR(INDEX('Usage Inputs'!$G:$G,MATCH(B58,'Usage Inputs'!$B:$B,0)),0)</f>
        <v/>
      </c>
      <c r="K58" s="16">
        <f>MAX(0,(IF(H58="",J58,MIN(J58,H58))-G58))</f>
        <v/>
      </c>
      <c r="L58" s="17">
        <f>K58/F58*I58</f>
        <v/>
      </c>
      <c r="M58" s="18" t="inlineStr">
        <is>
          <t>Final tier</t>
        </is>
      </c>
    </row>
    <row r="59">
      <c r="A59" s="10" t="inlineStr">
        <is>
          <t>Cloud Storage</t>
        </is>
      </c>
      <c r="B59" s="10" t="inlineStr">
        <is>
          <t>1F8B-71B0-3D1B</t>
        </is>
      </c>
      <c r="C59" s="10" t="inlineStr">
        <is>
          <t>Download APAC</t>
        </is>
      </c>
      <c r="D59" s="10" t="inlineStr">
        <is>
          <t>Network / egress</t>
        </is>
      </c>
      <c r="E59" s="10" t="inlineStr">
        <is>
          <t>gibibyte</t>
        </is>
      </c>
      <c r="F59" s="11" t="n">
        <v>1</v>
      </c>
      <c r="G59" s="11" t="n">
        <v>0</v>
      </c>
      <c r="H59" s="11" t="n">
        <v>100</v>
      </c>
      <c r="I59" s="12" t="n">
        <v>0</v>
      </c>
      <c r="J59" s="16">
        <f>IFERROR(INDEX('Usage Inputs'!$G:$G,MATCH(B59,'Usage Inputs'!$B:$B,0)),0)</f>
        <v/>
      </c>
      <c r="K59" s="16">
        <f>MAX(0,(IF(H59="",J59,MIN(J59,H59))-G59))</f>
        <v/>
      </c>
      <c r="L59" s="17">
        <f>K59/F59*I59</f>
        <v/>
      </c>
      <c r="M59" s="18" t="inlineStr">
        <is>
          <t>Bounded tier</t>
        </is>
      </c>
    </row>
    <row r="60">
      <c r="A60" s="10" t="inlineStr">
        <is>
          <t>Cloud Storage</t>
        </is>
      </c>
      <c r="B60" s="10" t="inlineStr">
        <is>
          <t>1F8B-71B0-3D1B</t>
        </is>
      </c>
      <c r="C60" s="10" t="inlineStr">
        <is>
          <t>Download APAC</t>
        </is>
      </c>
      <c r="D60" s="10" t="inlineStr">
        <is>
          <t>Network / egress</t>
        </is>
      </c>
      <c r="E60" s="10" t="inlineStr">
        <is>
          <t>gibibyte</t>
        </is>
      </c>
      <c r="F60" s="11" t="n">
        <v>1</v>
      </c>
      <c r="G60" s="11" t="n">
        <v>100</v>
      </c>
      <c r="H60" s="11" t="n">
        <v>1024</v>
      </c>
      <c r="I60" s="12" t="n">
        <v>11.346</v>
      </c>
      <c r="J60" s="16">
        <f>IFERROR(INDEX('Usage Inputs'!$G:$G,MATCH(B60,'Usage Inputs'!$B:$B,0)),0)</f>
        <v/>
      </c>
      <c r="K60" s="16">
        <f>MAX(0,(IF(H60="",J60,MIN(J60,H60))-G60))</f>
        <v/>
      </c>
      <c r="L60" s="17">
        <f>K60/F60*I60</f>
        <v/>
      </c>
      <c r="M60" s="18" t="inlineStr">
        <is>
          <t>Bounded tier</t>
        </is>
      </c>
    </row>
    <row r="61">
      <c r="A61" s="10" t="inlineStr">
        <is>
          <t>Cloud Storage</t>
        </is>
      </c>
      <c r="B61" s="10" t="inlineStr">
        <is>
          <t>1F8B-71B0-3D1B</t>
        </is>
      </c>
      <c r="C61" s="10" t="inlineStr">
        <is>
          <t>Download APAC</t>
        </is>
      </c>
      <c r="D61" s="10" t="inlineStr">
        <is>
          <t>Network / egress</t>
        </is>
      </c>
      <c r="E61" s="10" t="inlineStr">
        <is>
          <t>gibibyte</t>
        </is>
      </c>
      <c r="F61" s="11" t="n">
        <v>1</v>
      </c>
      <c r="G61" s="11" t="n">
        <v>1024</v>
      </c>
      <c r="H61" s="11" t="n">
        <v>10240</v>
      </c>
      <c r="I61" s="12" t="n">
        <v>10.4005</v>
      </c>
      <c r="J61" s="16">
        <f>IFERROR(INDEX('Usage Inputs'!$G:$G,MATCH(B61,'Usage Inputs'!$B:$B,0)),0)</f>
        <v/>
      </c>
      <c r="K61" s="16">
        <f>MAX(0,(IF(H61="",J61,MIN(J61,H61))-G61))</f>
        <v/>
      </c>
      <c r="L61" s="17">
        <f>K61/F61*I61</f>
        <v/>
      </c>
      <c r="M61" s="18" t="inlineStr">
        <is>
          <t>Bounded tier</t>
        </is>
      </c>
    </row>
    <row r="62">
      <c r="A62" s="10" t="inlineStr">
        <is>
          <t>Cloud Storage</t>
        </is>
      </c>
      <c r="B62" s="10" t="inlineStr">
        <is>
          <t>1F8B-71B0-3D1B</t>
        </is>
      </c>
      <c r="C62" s="10" t="inlineStr">
        <is>
          <t>Download APAC</t>
        </is>
      </c>
      <c r="D62" s="10" t="inlineStr">
        <is>
          <t>Network / egress</t>
        </is>
      </c>
      <c r="E62" s="10" t="inlineStr">
        <is>
          <t>gibibyte</t>
        </is>
      </c>
      <c r="F62" s="11" t="n">
        <v>1</v>
      </c>
      <c r="G62" s="11" t="n">
        <v>10240</v>
      </c>
      <c r="H62" s="11" t="inlineStr"/>
      <c r="I62" s="12" t="n">
        <v>7.564</v>
      </c>
      <c r="J62" s="16">
        <f>IFERROR(INDEX('Usage Inputs'!$G:$G,MATCH(B62,'Usage Inputs'!$B:$B,0)),0)</f>
        <v/>
      </c>
      <c r="K62" s="16">
        <f>MAX(0,(IF(H62="",J62,MIN(J62,H62))-G62))</f>
        <v/>
      </c>
      <c r="L62" s="17">
        <f>K62/F62*I62</f>
        <v/>
      </c>
      <c r="M62" s="18" t="inlineStr">
        <is>
          <t>Final tier</t>
        </is>
      </c>
    </row>
    <row r="63">
      <c r="A63" s="10" t="inlineStr">
        <is>
          <t>Cloud Storage</t>
        </is>
      </c>
      <c r="B63" s="10" t="inlineStr">
        <is>
          <t>9ADA-9AED-1B24</t>
        </is>
      </c>
      <c r="C63" s="10" t="inlineStr">
        <is>
          <t>Multi-Region Standard Class A Operations</t>
        </is>
      </c>
      <c r="D63" s="10" t="inlineStr">
        <is>
          <t>Storage / retention</t>
        </is>
      </c>
      <c r="E63" s="10" t="inlineStr">
        <is>
          <t>count</t>
        </is>
      </c>
      <c r="F63" s="11" t="n">
        <v>1000</v>
      </c>
      <c r="G63" s="11" t="n">
        <v>0</v>
      </c>
      <c r="H63" s="11" t="inlineStr"/>
      <c r="I63" s="12" t="n">
        <v>0.9455</v>
      </c>
      <c r="J63" s="16">
        <f>IFERROR(INDEX('Usage Inputs'!$G:$G,MATCH(B63,'Usage Inputs'!$B:$B,0)),0)</f>
        <v/>
      </c>
      <c r="K63" s="16">
        <f>MAX(0,(IF(H63="",J63,MIN(J63,H63))-G63))</f>
        <v/>
      </c>
      <c r="L63" s="17">
        <f>K63/F63*I63</f>
        <v/>
      </c>
      <c r="M63" s="18" t="inlineStr">
        <is>
          <t>Final tier</t>
        </is>
      </c>
    </row>
    <row r="64">
      <c r="A64" s="10" t="inlineStr">
        <is>
          <t>Cloud Storage</t>
        </is>
      </c>
      <c r="B64" s="10" t="inlineStr">
        <is>
          <t>8AE7-5BBD-8F38</t>
        </is>
      </c>
      <c r="C64" s="10" t="inlineStr">
        <is>
          <t>Multi-Region Standard Class B Operations</t>
        </is>
      </c>
      <c r="D64" s="10" t="inlineStr">
        <is>
          <t>Storage / retention</t>
        </is>
      </c>
      <c r="E64" s="10" t="inlineStr">
        <is>
          <t>count</t>
        </is>
      </c>
      <c r="F64" s="11" t="n">
        <v>1000</v>
      </c>
      <c r="G64" s="11" t="n">
        <v>0</v>
      </c>
      <c r="H64" s="11" t="inlineStr"/>
      <c r="I64" s="12" t="n">
        <v>0.03782</v>
      </c>
      <c r="J64" s="16">
        <f>IFERROR(INDEX('Usage Inputs'!$G:$G,MATCH(B64,'Usage Inputs'!$B:$B,0)),0)</f>
        <v/>
      </c>
      <c r="K64" s="16">
        <f>MAX(0,(IF(H64="",J64,MIN(J64,H64))-G64))</f>
        <v/>
      </c>
      <c r="L64" s="17">
        <f>K64/F64*I64</f>
        <v/>
      </c>
      <c r="M64" s="18" t="inlineStr">
        <is>
          <t>Final tier</t>
        </is>
      </c>
    </row>
    <row r="65">
      <c r="A65" s="10" t="inlineStr">
        <is>
          <t>Cloud Storage</t>
        </is>
      </c>
      <c r="B65" s="10" t="inlineStr">
        <is>
          <t>B1FE-19F7-6D1B</t>
        </is>
      </c>
      <c r="C65" s="10" t="inlineStr">
        <is>
          <t>NA-based Storage Data Transfer Out via peered/interconnect network</t>
        </is>
      </c>
      <c r="D65" s="10" t="inlineStr">
        <is>
          <t>Network / egress</t>
        </is>
      </c>
      <c r="E65" s="10" t="inlineStr">
        <is>
          <t>gibibyte</t>
        </is>
      </c>
      <c r="F65" s="11" t="n">
        <v>1</v>
      </c>
      <c r="G65" s="11" t="n">
        <v>0</v>
      </c>
      <c r="H65" s="11" t="inlineStr"/>
      <c r="I65" s="12" t="n">
        <v>7.564</v>
      </c>
      <c r="J65" s="16">
        <f>IFERROR(INDEX('Usage Inputs'!$G:$G,MATCH(B65,'Usage Inputs'!$B:$B,0)),0)</f>
        <v/>
      </c>
      <c r="K65" s="16">
        <f>MAX(0,(IF(H65="",J65,MIN(J65,H65))-G65))</f>
        <v/>
      </c>
      <c r="L65" s="17">
        <f>K65/F65*I65</f>
        <v/>
      </c>
      <c r="M65" s="18" t="inlineStr">
        <is>
          <t>Final tier</t>
        </is>
      </c>
    </row>
    <row r="66">
      <c r="A66" s="10" t="inlineStr">
        <is>
          <t>Cloud Storage</t>
        </is>
      </c>
      <c r="B66" s="10" t="inlineStr">
        <is>
          <t>3C8A-99C5-F47B</t>
        </is>
      </c>
      <c r="C66" s="10" t="inlineStr">
        <is>
          <t>Network Data Transfer GCP Multi-region within Northern America</t>
        </is>
      </c>
      <c r="D66" s="10" t="inlineStr">
        <is>
          <t>Network / egress</t>
        </is>
      </c>
      <c r="E66" s="10" t="inlineStr">
        <is>
          <t>gibibyte</t>
        </is>
      </c>
      <c r="F66" s="11" t="n">
        <v>1</v>
      </c>
      <c r="G66" s="11" t="n">
        <v>0</v>
      </c>
      <c r="H66" s="11" t="inlineStr"/>
      <c r="I66" s="12" t="n">
        <v>1.891</v>
      </c>
      <c r="J66" s="16">
        <f>IFERROR(INDEX('Usage Inputs'!$G:$G,MATCH(B66,'Usage Inputs'!$B:$B,0)),0)</f>
        <v/>
      </c>
      <c r="K66" s="16">
        <f>MAX(0,(IF(H66="",J66,MIN(J66,H66))-G66))</f>
        <v/>
      </c>
      <c r="L66" s="17">
        <f>K66/F66*I66</f>
        <v/>
      </c>
      <c r="M66" s="18" t="inlineStr">
        <is>
          <t>Final tier</t>
        </is>
      </c>
    </row>
    <row r="67">
      <c r="A67" s="10" t="inlineStr">
        <is>
          <t>Cloud Storage</t>
        </is>
      </c>
      <c r="B67" s="10" t="inlineStr">
        <is>
          <t>AED0-3315-7B11</t>
        </is>
      </c>
      <c r="C67" s="10" t="inlineStr">
        <is>
          <t>Network Data Transfer GCP Replication within Northern America</t>
        </is>
      </c>
      <c r="D67" s="10" t="inlineStr">
        <is>
          <t>Network / egress</t>
        </is>
      </c>
      <c r="E67" s="10" t="inlineStr">
        <is>
          <t>gibibyte</t>
        </is>
      </c>
      <c r="F67" s="11" t="n">
        <v>1</v>
      </c>
      <c r="G67" s="11" t="n">
        <v>0</v>
      </c>
      <c r="H67" s="11" t="inlineStr"/>
      <c r="I67" s="12" t="n">
        <v>1.891</v>
      </c>
      <c r="J67" s="16">
        <f>IFERROR(INDEX('Usage Inputs'!$G:$G,MATCH(B67,'Usage Inputs'!$B:$B,0)),0)</f>
        <v/>
      </c>
      <c r="K67" s="16">
        <f>MAX(0,(IF(H67="",J67,MIN(J67,H67))-G67))</f>
        <v/>
      </c>
      <c r="L67" s="17">
        <f>K67/F67*I67</f>
        <v/>
      </c>
      <c r="M67" s="18" t="inlineStr">
        <is>
          <t>Final tier</t>
        </is>
      </c>
    </row>
    <row r="68">
      <c r="A68" s="10" t="inlineStr">
        <is>
          <t>Cloud Storage</t>
        </is>
      </c>
      <c r="B68" s="10" t="inlineStr">
        <is>
          <t>4DBF-185F-A415</t>
        </is>
      </c>
      <c r="C68" s="10" t="inlineStr">
        <is>
          <t>Regional Standard Class A Operations</t>
        </is>
      </c>
      <c r="D68" s="10" t="inlineStr">
        <is>
          <t>Storage / retention</t>
        </is>
      </c>
      <c r="E68" s="10" t="inlineStr">
        <is>
          <t>count</t>
        </is>
      </c>
      <c r="F68" s="11" t="n">
        <v>1000</v>
      </c>
      <c r="G68" s="11" t="n">
        <v>0</v>
      </c>
      <c r="H68" s="11" t="n">
        <v>5000</v>
      </c>
      <c r="I68" s="12" t="n">
        <v>0</v>
      </c>
      <c r="J68" s="16">
        <f>IFERROR(INDEX('Usage Inputs'!$G:$G,MATCH(B68,'Usage Inputs'!$B:$B,0)),0)</f>
        <v/>
      </c>
      <c r="K68" s="16">
        <f>MAX(0,(IF(H68="",J68,MIN(J68,H68))-G68))</f>
        <v/>
      </c>
      <c r="L68" s="17">
        <f>K68/F68*I68</f>
        <v/>
      </c>
      <c r="M68" s="18" t="inlineStr">
        <is>
          <t>Bounded tier</t>
        </is>
      </c>
    </row>
    <row r="69">
      <c r="A69" s="10" t="inlineStr">
        <is>
          <t>Cloud Storage</t>
        </is>
      </c>
      <c r="B69" s="10" t="inlineStr">
        <is>
          <t>4DBF-185F-A415</t>
        </is>
      </c>
      <c r="C69" s="10" t="inlineStr">
        <is>
          <t>Regional Standard Class A Operations</t>
        </is>
      </c>
      <c r="D69" s="10" t="inlineStr">
        <is>
          <t>Storage / retention</t>
        </is>
      </c>
      <c r="E69" s="10" t="inlineStr">
        <is>
          <t>count</t>
        </is>
      </c>
      <c r="F69" s="11" t="n">
        <v>1000</v>
      </c>
      <c r="G69" s="11" t="n">
        <v>5000</v>
      </c>
      <c r="H69" s="11" t="inlineStr"/>
      <c r="I69" s="12" t="n">
        <v>0.47275</v>
      </c>
      <c r="J69" s="16">
        <f>IFERROR(INDEX('Usage Inputs'!$G:$G,MATCH(B69,'Usage Inputs'!$B:$B,0)),0)</f>
        <v/>
      </c>
      <c r="K69" s="16">
        <f>MAX(0,(IF(H69="",J69,MIN(J69,H69))-G69))</f>
        <v/>
      </c>
      <c r="L69" s="17">
        <f>K69/F69*I69</f>
        <v/>
      </c>
      <c r="M69" s="18" t="inlineStr">
        <is>
          <t>Final tier</t>
        </is>
      </c>
    </row>
    <row r="70">
      <c r="A70" s="10" t="inlineStr">
        <is>
          <t>Cloud Storage</t>
        </is>
      </c>
      <c r="B70" s="10" t="inlineStr">
        <is>
          <t>7870-010B-2763</t>
        </is>
      </c>
      <c r="C70" s="10" t="inlineStr">
        <is>
          <t>Regional Standard Class B Operations</t>
        </is>
      </c>
      <c r="D70" s="10" t="inlineStr">
        <is>
          <t>Storage / retention</t>
        </is>
      </c>
      <c r="E70" s="10" t="inlineStr">
        <is>
          <t>count</t>
        </is>
      </c>
      <c r="F70" s="11" t="n">
        <v>1000</v>
      </c>
      <c r="G70" s="11" t="n">
        <v>0</v>
      </c>
      <c r="H70" s="11" t="n">
        <v>50000</v>
      </c>
      <c r="I70" s="12" t="n">
        <v>0</v>
      </c>
      <c r="J70" s="16">
        <f>IFERROR(INDEX('Usage Inputs'!$G:$G,MATCH(B70,'Usage Inputs'!$B:$B,0)),0)</f>
        <v/>
      </c>
      <c r="K70" s="16">
        <f>MAX(0,(IF(H70="",J70,MIN(J70,H70))-G70))</f>
        <v/>
      </c>
      <c r="L70" s="17">
        <f>K70/F70*I70</f>
        <v/>
      </c>
      <c r="M70" s="18" t="inlineStr">
        <is>
          <t>Bounded tier</t>
        </is>
      </c>
    </row>
    <row r="71">
      <c r="A71" s="10" t="inlineStr">
        <is>
          <t>Cloud Storage</t>
        </is>
      </c>
      <c r="B71" s="10" t="inlineStr">
        <is>
          <t>7870-010B-2763</t>
        </is>
      </c>
      <c r="C71" s="10" t="inlineStr">
        <is>
          <t>Regional Standard Class B Operations</t>
        </is>
      </c>
      <c r="D71" s="10" t="inlineStr">
        <is>
          <t>Storage / retention</t>
        </is>
      </c>
      <c r="E71" s="10" t="inlineStr">
        <is>
          <t>count</t>
        </is>
      </c>
      <c r="F71" s="11" t="n">
        <v>1000</v>
      </c>
      <c r="G71" s="11" t="n">
        <v>50000</v>
      </c>
      <c r="H71" s="11" t="inlineStr"/>
      <c r="I71" s="12" t="n">
        <v>0.03782</v>
      </c>
      <c r="J71" s="16">
        <f>IFERROR(INDEX('Usage Inputs'!$G:$G,MATCH(B71,'Usage Inputs'!$B:$B,0)),0)</f>
        <v/>
      </c>
      <c r="K71" s="16">
        <f>MAX(0,(IF(H71="",J71,MIN(J71,H71))-G71))</f>
        <v/>
      </c>
      <c r="L71" s="17">
        <f>K71/F71*I71</f>
        <v/>
      </c>
      <c r="M71" s="18" t="inlineStr">
        <is>
          <t>Final tier</t>
        </is>
      </c>
    </row>
    <row r="72">
      <c r="A72" s="10" t="inlineStr">
        <is>
          <t>Cloud Storage</t>
        </is>
      </c>
      <c r="B72" s="10" t="inlineStr">
        <is>
          <t>0D5D-6E23-4250</t>
        </is>
      </c>
      <c r="C72" s="10" t="inlineStr">
        <is>
          <t>Standard Storage US Multi-region</t>
        </is>
      </c>
      <c r="D72" s="10" t="inlineStr">
        <is>
          <t>Storage / retention</t>
        </is>
      </c>
      <c r="E72" s="10" t="inlineStr">
        <is>
          <t>gibibyte month</t>
        </is>
      </c>
      <c r="F72" s="11" t="n">
        <v>1</v>
      </c>
      <c r="G72" s="11" t="n">
        <v>0</v>
      </c>
      <c r="H72" s="11" t="inlineStr"/>
      <c r="I72" s="12" t="n">
        <v>2.4583</v>
      </c>
      <c r="J72" s="16">
        <f>IFERROR(INDEX('Usage Inputs'!$G:$G,MATCH(B72,'Usage Inputs'!$B:$B,0)),0)</f>
        <v/>
      </c>
      <c r="K72" s="16">
        <f>MAX(0,(IF(H72="",J72,MIN(J72,H72))-G72))</f>
        <v/>
      </c>
      <c r="L72" s="17">
        <f>K72/F72*I72</f>
        <v/>
      </c>
      <c r="M72" s="18" t="inlineStr">
        <is>
          <t>Final tier</t>
        </is>
      </c>
    </row>
    <row r="73">
      <c r="A73" s="10" t="inlineStr">
        <is>
          <t>Cloud Storage</t>
        </is>
      </c>
      <c r="B73" s="10" t="inlineStr">
        <is>
          <t>E5F0-6A5D-7BAD</t>
        </is>
      </c>
      <c r="C73" s="10" t="inlineStr">
        <is>
          <t>Standard Storage US Regional</t>
        </is>
      </c>
      <c r="D73" s="10" t="inlineStr">
        <is>
          <t>Storage / retention</t>
        </is>
      </c>
      <c r="E73" s="10" t="inlineStr">
        <is>
          <t>gibibyte month</t>
        </is>
      </c>
      <c r="F73" s="11" t="n">
        <v>1</v>
      </c>
      <c r="G73" s="11" t="n">
        <v>0</v>
      </c>
      <c r="H73" s="11" t="n">
        <v>5</v>
      </c>
      <c r="I73" s="12" t="n">
        <v>0</v>
      </c>
      <c r="J73" s="16">
        <f>IFERROR(INDEX('Usage Inputs'!$G:$G,MATCH(B73,'Usage Inputs'!$B:$B,0)),0)</f>
        <v/>
      </c>
      <c r="K73" s="16">
        <f>MAX(0,(IF(H73="",J73,MIN(J73,H73))-G73))</f>
        <v/>
      </c>
      <c r="L73" s="17">
        <f>K73/F73*I73</f>
        <v/>
      </c>
      <c r="M73" s="18" t="inlineStr">
        <is>
          <t>Bounded tier</t>
        </is>
      </c>
    </row>
    <row r="74">
      <c r="A74" s="10" t="inlineStr">
        <is>
          <t>Cloud Storage</t>
        </is>
      </c>
      <c r="B74" s="10" t="inlineStr">
        <is>
          <t>E5F0-6A5D-7BAD</t>
        </is>
      </c>
      <c r="C74" s="10" t="inlineStr">
        <is>
          <t>Standard Storage US Regional</t>
        </is>
      </c>
      <c r="D74" s="10" t="inlineStr">
        <is>
          <t>Storage / retention</t>
        </is>
      </c>
      <c r="E74" s="10" t="inlineStr">
        <is>
          <t>gibibyte month</t>
        </is>
      </c>
      <c r="F74" s="11" t="n">
        <v>1</v>
      </c>
      <c r="G74" s="11" t="n">
        <v>5</v>
      </c>
      <c r="H74" s="11" t="inlineStr"/>
      <c r="I74" s="12" t="n">
        <v>1.891</v>
      </c>
      <c r="J74" s="16">
        <f>IFERROR(INDEX('Usage Inputs'!$G:$G,MATCH(B74,'Usage Inputs'!$B:$B,0)),0)</f>
        <v/>
      </c>
      <c r="K74" s="16">
        <f>MAX(0,(IF(H74="",J74,MIN(J74,H74))-G74))</f>
        <v/>
      </c>
      <c r="L74" s="17">
        <f>K74/F74*I74</f>
        <v/>
      </c>
      <c r="M74" s="18" t="inlineStr">
        <is>
          <t>Final tier</t>
        </is>
      </c>
    </row>
    <row r="75">
      <c r="A75" s="10" t="inlineStr">
        <is>
          <t>Cloud Tasks</t>
        </is>
      </c>
      <c r="B75" s="10" t="inlineStr">
        <is>
          <t>FE08-0A74-7AFD</t>
        </is>
      </c>
      <c r="C75" s="10" t="inlineStr">
        <is>
          <t>Cloud Tasks GOOGLE-API Data Transfer Out</t>
        </is>
      </c>
      <c r="D75" s="10" t="inlineStr">
        <is>
          <t>Network / egress</t>
        </is>
      </c>
      <c r="E75" s="10" t="inlineStr">
        <is>
          <t>gibibyte</t>
        </is>
      </c>
      <c r="F75" s="11" t="n">
        <v>1</v>
      </c>
      <c r="G75" s="11" t="n">
        <v>0</v>
      </c>
      <c r="H75" s="11" t="inlineStr"/>
      <c r="I75" s="12" t="n">
        <v>0</v>
      </c>
      <c r="J75" s="16">
        <f>IFERROR(INDEX('Usage Inputs'!$G:$G,MATCH(B75,'Usage Inputs'!$B:$B,0)),0)</f>
        <v/>
      </c>
      <c r="K75" s="16">
        <f>MAX(0,(IF(H75="",J75,MIN(J75,H75))-G75))</f>
        <v/>
      </c>
      <c r="L75" s="17">
        <f>K75/F75*I75</f>
        <v/>
      </c>
      <c r="M75" s="18" t="inlineStr">
        <is>
          <t>Final tier</t>
        </is>
      </c>
    </row>
    <row r="76">
      <c r="A76" s="10" t="inlineStr">
        <is>
          <t>Cloud Tasks</t>
        </is>
      </c>
      <c r="B76" s="10" t="inlineStr">
        <is>
          <t>378A-D762-1F74</t>
        </is>
      </c>
      <c r="C76" s="10" t="inlineStr">
        <is>
          <t>Operations</t>
        </is>
      </c>
      <c r="D76" s="10" t="inlineStr">
        <is>
          <t>Requests / operations</t>
        </is>
      </c>
      <c r="E76" s="10" t="inlineStr">
        <is>
          <t>count</t>
        </is>
      </c>
      <c r="F76" s="11" t="n">
        <v>1000000</v>
      </c>
      <c r="G76" s="11" t="n">
        <v>0</v>
      </c>
      <c r="H76" s="11" t="n">
        <v>1000000</v>
      </c>
      <c r="I76" s="12" t="n">
        <v>0</v>
      </c>
      <c r="J76" s="16">
        <f>IFERROR(INDEX('Usage Inputs'!$G:$G,MATCH(B76,'Usage Inputs'!$B:$B,0)),0)</f>
        <v/>
      </c>
      <c r="K76" s="16">
        <f>MAX(0,(IF(H76="",J76,MIN(J76,H76))-G76))</f>
        <v/>
      </c>
      <c r="L76" s="17">
        <f>K76/F76*I76</f>
        <v/>
      </c>
      <c r="M76" s="18" t="inlineStr">
        <is>
          <t>Bounded tier</t>
        </is>
      </c>
    </row>
    <row r="77">
      <c r="A77" s="10" t="inlineStr">
        <is>
          <t>Cloud Tasks</t>
        </is>
      </c>
      <c r="B77" s="10" t="inlineStr">
        <is>
          <t>378A-D762-1F74</t>
        </is>
      </c>
      <c r="C77" s="10" t="inlineStr">
        <is>
          <t>Operations</t>
        </is>
      </c>
      <c r="D77" s="10" t="inlineStr">
        <is>
          <t>Requests / operations</t>
        </is>
      </c>
      <c r="E77" s="10" t="inlineStr">
        <is>
          <t>count</t>
        </is>
      </c>
      <c r="F77" s="11" t="n">
        <v>1000000</v>
      </c>
      <c r="G77" s="11" t="n">
        <v>1000000</v>
      </c>
      <c r="H77" s="11" t="inlineStr"/>
      <c r="I77" s="12" t="n">
        <v>37.820000001</v>
      </c>
      <c r="J77" s="16">
        <f>IFERROR(INDEX('Usage Inputs'!$G:$G,MATCH(B77,'Usage Inputs'!$B:$B,0)),0)</f>
        <v/>
      </c>
      <c r="K77" s="16">
        <f>MAX(0,(IF(H77="",J77,MIN(J77,H77))-G77))</f>
        <v/>
      </c>
      <c r="L77" s="17">
        <f>K77/F77*I77</f>
        <v/>
      </c>
      <c r="M77" s="18" t="inlineStr">
        <is>
          <t>Final tier</t>
        </is>
      </c>
    </row>
    <row r="78">
      <c r="A78" s="10" t="inlineStr">
        <is>
          <t>Secret Manager</t>
        </is>
      </c>
      <c r="B78" s="10" t="inlineStr">
        <is>
          <t>EBA7-264F-2D2C</t>
        </is>
      </c>
      <c r="C78" s="10" t="inlineStr">
        <is>
          <t>Secret access operations</t>
        </is>
      </c>
      <c r="D78" s="10" t="inlineStr">
        <is>
          <t>Requests / operations</t>
        </is>
      </c>
      <c r="E78" s="10" t="inlineStr">
        <is>
          <t>count</t>
        </is>
      </c>
      <c r="F78" s="11" t="n">
        <v>10000</v>
      </c>
      <c r="G78" s="11" t="n">
        <v>0</v>
      </c>
      <c r="H78" s="11" t="n">
        <v>10000</v>
      </c>
      <c r="I78" s="12" t="n">
        <v>0</v>
      </c>
      <c r="J78" s="16">
        <f>IFERROR(INDEX('Usage Inputs'!$G:$G,MATCH(B78,'Usage Inputs'!$B:$B,0)),0)</f>
        <v/>
      </c>
      <c r="K78" s="16">
        <f>MAX(0,(IF(H78="",J78,MIN(J78,H78))-G78))</f>
        <v/>
      </c>
      <c r="L78" s="17">
        <f>K78/F78*I78</f>
        <v/>
      </c>
      <c r="M78" s="18" t="inlineStr">
        <is>
          <t>Bounded tier</t>
        </is>
      </c>
    </row>
    <row r="79">
      <c r="A79" s="10" t="inlineStr">
        <is>
          <t>Secret Manager</t>
        </is>
      </c>
      <c r="B79" s="10" t="inlineStr">
        <is>
          <t>EBA7-264F-2D2C</t>
        </is>
      </c>
      <c r="C79" s="10" t="inlineStr">
        <is>
          <t>Secret access operations</t>
        </is>
      </c>
      <c r="D79" s="10" t="inlineStr">
        <is>
          <t>Requests / operations</t>
        </is>
      </c>
      <c r="E79" s="10" t="inlineStr">
        <is>
          <t>count</t>
        </is>
      </c>
      <c r="F79" s="11" t="n">
        <v>10000</v>
      </c>
      <c r="G79" s="11" t="n">
        <v>10000</v>
      </c>
      <c r="H79" s="11" t="inlineStr"/>
      <c r="I79" s="12" t="n">
        <v>2.8365</v>
      </c>
      <c r="J79" s="16">
        <f>IFERROR(INDEX('Usage Inputs'!$G:$G,MATCH(B79,'Usage Inputs'!$B:$B,0)),0)</f>
        <v/>
      </c>
      <c r="K79" s="16">
        <f>MAX(0,(IF(H79="",J79,MIN(J79,H79))-G79))</f>
        <v/>
      </c>
      <c r="L79" s="17">
        <f>K79/F79*I79</f>
        <v/>
      </c>
      <c r="M79" s="18" t="inlineStr">
        <is>
          <t>Final tier</t>
        </is>
      </c>
    </row>
    <row r="80">
      <c r="A80" s="10" t="inlineStr">
        <is>
          <t>Secret Manager</t>
        </is>
      </c>
      <c r="B80" s="10" t="inlineStr">
        <is>
          <t>7756-ADEF-84F4</t>
        </is>
      </c>
      <c r="C80" s="10" t="inlineStr">
        <is>
          <t>Secret version replica storage</t>
        </is>
      </c>
      <c r="D80" s="10" t="inlineStr">
        <is>
          <t>Storage / retention</t>
        </is>
      </c>
      <c r="E80" s="10" t="inlineStr">
        <is>
          <t>month</t>
        </is>
      </c>
      <c r="F80" s="11" t="n">
        <v>1</v>
      </c>
      <c r="G80" s="11" t="n">
        <v>0</v>
      </c>
      <c r="H80" s="11" t="n">
        <v>6</v>
      </c>
      <c r="I80" s="12" t="n">
        <v>0</v>
      </c>
      <c r="J80" s="16">
        <f>IFERROR(INDEX('Usage Inputs'!$G:$G,MATCH(B80,'Usage Inputs'!$B:$B,0)),0)</f>
        <v/>
      </c>
      <c r="K80" s="16">
        <f>MAX(0,(IF(H80="",J80,MIN(J80,H80))-G80))</f>
        <v/>
      </c>
      <c r="L80" s="17">
        <f>K80/F80*I80</f>
        <v/>
      </c>
      <c r="M80" s="18" t="inlineStr">
        <is>
          <t>Bounded tier</t>
        </is>
      </c>
    </row>
    <row r="81">
      <c r="A81" s="10" t="inlineStr">
        <is>
          <t>Secret Manager</t>
        </is>
      </c>
      <c r="B81" s="10" t="inlineStr">
        <is>
          <t>7756-ADEF-84F4</t>
        </is>
      </c>
      <c r="C81" s="10" t="inlineStr">
        <is>
          <t>Secret version replica storage</t>
        </is>
      </c>
      <c r="D81" s="10" t="inlineStr">
        <is>
          <t>Storage / retention</t>
        </is>
      </c>
      <c r="E81" s="10" t="inlineStr">
        <is>
          <t>month</t>
        </is>
      </c>
      <c r="F81" s="11" t="n">
        <v>1</v>
      </c>
      <c r="G81" s="11" t="n">
        <v>6</v>
      </c>
      <c r="H81" s="11" t="inlineStr"/>
      <c r="I81" s="12" t="n">
        <v>5.673</v>
      </c>
      <c r="J81" s="16">
        <f>IFERROR(INDEX('Usage Inputs'!$G:$G,MATCH(B81,'Usage Inputs'!$B:$B,0)),0)</f>
        <v/>
      </c>
      <c r="K81" s="16">
        <f>MAX(0,(IF(H81="",J81,MIN(J81,H81))-G81))</f>
        <v/>
      </c>
      <c r="L81" s="17">
        <f>K81/F81*I81</f>
        <v/>
      </c>
      <c r="M81" s="18" t="inlineStr">
        <is>
          <t>Final tier</t>
        </is>
      </c>
    </row>
  </sheetData>
  <mergeCells count="2">
    <mergeCell ref="A2:M2"/>
    <mergeCell ref="A1:M1"/>
  </mergeCells>
  <conditionalFormatting sqref="L5:L81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52" customWidth="1" min="5" max="5"/>
    <col width="22" customWidth="1" min="6" max="6"/>
    <col width="42" customWidth="1" min="7" max="7"/>
    <col width="16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22" customWidth="1" min="14" max="14"/>
  </cols>
  <sheetData>
    <row r="1" ht="28" customHeight="1">
      <c r="A1" s="1" t="inlineStr">
        <is>
          <t>Source Pricing</t>
        </is>
      </c>
    </row>
    <row r="2" ht="32" customHeight="1">
      <c r="A2" s="2" t="inlineStr">
        <is>
          <t>Converted from the provided Numbers workbook; category and normalized-rate columns added for analysis.</t>
        </is>
      </c>
    </row>
    <row r="3"/>
    <row r="4">
      <c r="A4" s="9" t="inlineStr">
        <is>
          <t>Google service</t>
        </is>
      </c>
      <c r="B4" s="9" t="inlineStr">
        <is>
          <t>Service description</t>
        </is>
      </c>
      <c r="C4" s="9" t="inlineStr">
        <is>
          <t>Service ID</t>
        </is>
      </c>
      <c r="D4" s="9" t="inlineStr">
        <is>
          <t>SKU ID</t>
        </is>
      </c>
      <c r="E4" s="9" t="inlineStr">
        <is>
          <t>SKU description</t>
        </is>
      </c>
      <c r="F4" s="9" t="inlineStr">
        <is>
          <t>Consumption model description</t>
        </is>
      </c>
      <c r="G4" s="9" t="inlineStr">
        <is>
          <t>Product taxonomy</t>
        </is>
      </c>
      <c r="H4" s="9" t="inlineStr">
        <is>
          <t>Unit description</t>
        </is>
      </c>
      <c r="I4" s="9" t="inlineStr">
        <is>
          <t>Per unit quantity</t>
        </is>
      </c>
      <c r="J4" s="9" t="inlineStr">
        <is>
          <t>Tiered usage start</t>
        </is>
      </c>
      <c r="K4" s="9" t="inlineStr">
        <is>
          <t>List price (INR)</t>
        </is>
      </c>
      <c r="L4" s="9" t="inlineStr">
        <is>
          <t>Category</t>
        </is>
      </c>
      <c r="M4" s="9" t="inlineStr">
        <is>
          <t>Normalized rate</t>
        </is>
      </c>
      <c r="N4" s="9" t="inlineStr">
        <is>
          <t>Normalized unit</t>
        </is>
      </c>
    </row>
    <row r="5">
      <c r="A5" s="10" t="inlineStr">
        <is>
          <t>GCP</t>
        </is>
      </c>
      <c r="B5" s="10" t="inlineStr">
        <is>
          <t>Cloud DNS</t>
        </is>
      </c>
      <c r="C5" s="10" t="inlineStr">
        <is>
          <t>FA26-5236-B8B5</t>
        </is>
      </c>
      <c r="D5" s="10" t="inlineStr">
        <is>
          <t>6DFF-5025-A128</t>
        </is>
      </c>
      <c r="E5" s="10" t="inlineStr">
        <is>
          <t>DNS Query (port 53)</t>
        </is>
      </c>
      <c r="F5" s="10" t="inlineStr">
        <is>
          <t>Default</t>
        </is>
      </c>
      <c r="G5" s="10" t="inlineStr">
        <is>
          <t>GCP &gt; Network &gt; Cloud DNS &gt; Other</t>
        </is>
      </c>
      <c r="H5" s="10" t="inlineStr">
        <is>
          <t>count</t>
        </is>
      </c>
      <c r="I5" s="11" t="n">
        <v>1000000</v>
      </c>
      <c r="J5" s="11" t="n">
        <v>0</v>
      </c>
      <c r="K5" s="12" t="n">
        <v>37.820000001</v>
      </c>
      <c r="L5" s="10" t="inlineStr">
        <is>
          <t>Requests / operations</t>
        </is>
      </c>
      <c r="M5" s="12" t="n">
        <v>37.820000001</v>
      </c>
      <c r="N5" s="10" t="inlineStr">
        <is>
          <t>per 1,000,000 count</t>
        </is>
      </c>
    </row>
    <row r="6">
      <c r="A6" s="10" t="inlineStr">
        <is>
          <t>GCP</t>
        </is>
      </c>
      <c r="B6" s="10" t="inlineStr">
        <is>
          <t>Cloud DNS</t>
        </is>
      </c>
      <c r="C6" s="10" t="inlineStr">
        <is>
          <t>FA26-5236-B8B5</t>
        </is>
      </c>
      <c r="D6" s="10" t="inlineStr">
        <is>
          <t>6DFF-5025-A128</t>
        </is>
      </c>
      <c r="E6" s="10" t="inlineStr">
        <is>
          <t>DNS Query (port 53)</t>
        </is>
      </c>
      <c r="F6" s="10" t="inlineStr">
        <is>
          <t>Default</t>
        </is>
      </c>
      <c r="G6" s="10" t="inlineStr">
        <is>
          <t>GCP &gt; Network &gt; Cloud DNS &gt; Other</t>
        </is>
      </c>
      <c r="H6" s="10" t="inlineStr">
        <is>
          <t>count</t>
        </is>
      </c>
      <c r="I6" s="11" t="n">
        <v>1000000</v>
      </c>
      <c r="J6" s="11" t="n">
        <v>1000000000</v>
      </c>
      <c r="K6" s="12" t="n">
        <v>18.91</v>
      </c>
      <c r="L6" s="10" t="inlineStr">
        <is>
          <t>Requests / operations</t>
        </is>
      </c>
      <c r="M6" s="12" t="n">
        <v>18.91</v>
      </c>
      <c r="N6" s="10" t="inlineStr">
        <is>
          <t>per 1,000,000 count</t>
        </is>
      </c>
    </row>
    <row r="7">
      <c r="A7" s="10" t="inlineStr">
        <is>
          <t>GCP</t>
        </is>
      </c>
      <c r="B7" s="10" t="inlineStr">
        <is>
          <t>Cloud DNS</t>
        </is>
      </c>
      <c r="C7" s="10" t="inlineStr">
        <is>
          <t>FA26-5236-B8B5</t>
        </is>
      </c>
      <c r="D7" s="10" t="inlineStr">
        <is>
          <t>8C22-6FC3-D478</t>
        </is>
      </c>
      <c r="E7" s="10" t="inlineStr">
        <is>
          <t>ManagedZone</t>
        </is>
      </c>
      <c r="F7" s="10" t="inlineStr">
        <is>
          <t>Default</t>
        </is>
      </c>
      <c r="G7" s="10" t="inlineStr">
        <is>
          <t>GCP &gt; Network &gt; Cloud DNS &gt; Other</t>
        </is>
      </c>
      <c r="H7" s="10" t="inlineStr">
        <is>
          <t>month</t>
        </is>
      </c>
      <c r="I7" s="11" t="n">
        <v>1</v>
      </c>
      <c r="J7" s="11" t="n">
        <v>0</v>
      </c>
      <c r="K7" s="12" t="n">
        <v>18.91</v>
      </c>
      <c r="L7" s="10" t="inlineStr">
        <is>
          <t>Other</t>
        </is>
      </c>
      <c r="M7" s="12" t="n">
        <v>18.91</v>
      </c>
      <c r="N7" s="10" t="inlineStr">
        <is>
          <t>per month</t>
        </is>
      </c>
    </row>
    <row r="8">
      <c r="A8" s="10" t="inlineStr">
        <is>
          <t>GCP</t>
        </is>
      </c>
      <c r="B8" s="10" t="inlineStr">
        <is>
          <t>Cloud DNS</t>
        </is>
      </c>
      <c r="C8" s="10" t="inlineStr">
        <is>
          <t>FA26-5236-B8B5</t>
        </is>
      </c>
      <c r="D8" s="10" t="inlineStr">
        <is>
          <t>8C22-6FC3-D478</t>
        </is>
      </c>
      <c r="E8" s="10" t="inlineStr">
        <is>
          <t>ManagedZone</t>
        </is>
      </c>
      <c r="F8" s="10" t="inlineStr">
        <is>
          <t>Default</t>
        </is>
      </c>
      <c r="G8" s="10" t="inlineStr">
        <is>
          <t>GCP &gt; Network &gt; Cloud DNS &gt; Other</t>
        </is>
      </c>
      <c r="H8" s="10" t="inlineStr">
        <is>
          <t>month</t>
        </is>
      </c>
      <c r="I8" s="11" t="n">
        <v>1</v>
      </c>
      <c r="J8" s="11" t="n">
        <v>25</v>
      </c>
      <c r="K8" s="12" t="n">
        <v>9.455</v>
      </c>
      <c r="L8" s="10" t="inlineStr">
        <is>
          <t>Other</t>
        </is>
      </c>
      <c r="M8" s="12" t="n">
        <v>9.455</v>
      </c>
      <c r="N8" s="10" t="inlineStr">
        <is>
          <t>per month</t>
        </is>
      </c>
    </row>
    <row r="9">
      <c r="A9" s="10" t="inlineStr">
        <is>
          <t>GCP</t>
        </is>
      </c>
      <c r="B9" s="10" t="inlineStr">
        <is>
          <t>Cloud DNS</t>
        </is>
      </c>
      <c r="C9" s="10" t="inlineStr">
        <is>
          <t>FA26-5236-B8B5</t>
        </is>
      </c>
      <c r="D9" s="10" t="inlineStr">
        <is>
          <t>8C22-6FC3-D478</t>
        </is>
      </c>
      <c r="E9" s="10" t="inlineStr">
        <is>
          <t>ManagedZone</t>
        </is>
      </c>
      <c r="F9" s="10" t="inlineStr">
        <is>
          <t>Default</t>
        </is>
      </c>
      <c r="G9" s="10" t="inlineStr">
        <is>
          <t>GCP &gt; Network &gt; Cloud DNS &gt; Other</t>
        </is>
      </c>
      <c r="H9" s="10" t="inlineStr">
        <is>
          <t>month</t>
        </is>
      </c>
      <c r="I9" s="11" t="n">
        <v>1</v>
      </c>
      <c r="J9" s="11" t="n">
        <v>10000</v>
      </c>
      <c r="K9" s="12" t="n">
        <v>2.8365</v>
      </c>
      <c r="L9" s="10" t="inlineStr">
        <is>
          <t>Other</t>
        </is>
      </c>
      <c r="M9" s="12" t="n">
        <v>2.8365</v>
      </c>
      <c r="N9" s="10" t="inlineStr">
        <is>
          <t>per month</t>
        </is>
      </c>
    </row>
    <row r="10">
      <c r="A10" s="10" t="inlineStr">
        <is>
          <t>GCP</t>
        </is>
      </c>
      <c r="B10" s="10" t="inlineStr">
        <is>
          <t>Cloud SQL</t>
        </is>
      </c>
      <c r="C10" s="10" t="inlineStr">
        <is>
          <t>9662-B51E-5089</t>
        </is>
      </c>
      <c r="D10" s="10" t="inlineStr">
        <is>
          <t>00AF-5292-3D5D</t>
        </is>
      </c>
      <c r="E10" s="10" t="inlineStr">
        <is>
          <t>CloudSQL Free Tier Data Cache Storage</t>
        </is>
      </c>
      <c r="F10" s="10" t="inlineStr">
        <is>
          <t>Default</t>
        </is>
      </c>
      <c r="G10" s="10" t="inlineStr">
        <is>
          <t>GCP &gt; Databases &gt; Cloud SQL &gt; Free Instance</t>
        </is>
      </c>
      <c r="H10" s="10" t="inlineStr">
        <is>
          <t>gibibyte month</t>
        </is>
      </c>
      <c r="I10" s="11" t="n">
        <v>1</v>
      </c>
      <c r="J10" s="11" t="n">
        <v>0</v>
      </c>
      <c r="K10" s="12" t="n">
        <v>0</v>
      </c>
      <c r="L10" s="10" t="inlineStr">
        <is>
          <t>Storage / retention</t>
        </is>
      </c>
      <c r="M10" s="12" t="n">
        <v>0</v>
      </c>
      <c r="N10" s="10" t="inlineStr">
        <is>
          <t>per gibibyte month</t>
        </is>
      </c>
    </row>
    <row r="11">
      <c r="A11" s="10" t="inlineStr">
        <is>
          <t>GCP</t>
        </is>
      </c>
      <c r="B11" s="10" t="inlineStr">
        <is>
          <t>Cloud SQL</t>
        </is>
      </c>
      <c r="C11" s="10" t="inlineStr">
        <is>
          <t>9662-B51E-5089</t>
        </is>
      </c>
      <c r="D11" s="10" t="inlineStr">
        <is>
          <t>A20B-E6B8-A643</t>
        </is>
      </c>
      <c r="E11" s="10" t="inlineStr">
        <is>
          <t>CloudSQL Free Tier Instance vCPU Cores</t>
        </is>
      </c>
      <c r="F11" s="10" t="inlineStr">
        <is>
          <t>Default</t>
        </is>
      </c>
      <c r="G11" s="10" t="inlineStr">
        <is>
          <t>GCP &gt; Databases &gt; Cloud SQL &gt; Free Instance</t>
        </is>
      </c>
      <c r="H11" s="10" t="inlineStr">
        <is>
          <t>hour</t>
        </is>
      </c>
      <c r="I11" s="11" t="n">
        <v>1</v>
      </c>
      <c r="J11" s="11" t="n">
        <v>0</v>
      </c>
      <c r="K11" s="12" t="n">
        <v>0</v>
      </c>
      <c r="L11" s="10" t="inlineStr">
        <is>
          <t>Compute time</t>
        </is>
      </c>
      <c r="M11" s="12" t="n">
        <v>0</v>
      </c>
      <c r="N11" s="10" t="inlineStr">
        <is>
          <t>per hour</t>
        </is>
      </c>
    </row>
    <row r="12">
      <c r="A12" s="10" t="inlineStr">
        <is>
          <t>GCP</t>
        </is>
      </c>
      <c r="B12" s="10" t="inlineStr">
        <is>
          <t>Cloud SQL</t>
        </is>
      </c>
      <c r="C12" s="10" t="inlineStr">
        <is>
          <t>9662-B51E-5089</t>
        </is>
      </c>
      <c r="D12" s="10" t="inlineStr">
        <is>
          <t>211D-2EB8-B4E3</t>
        </is>
      </c>
      <c r="E12" s="10" t="inlineStr">
        <is>
          <t>CloudSQL Free Tier Instance RAM</t>
        </is>
      </c>
      <c r="F12" s="10" t="inlineStr">
        <is>
          <t>Default</t>
        </is>
      </c>
      <c r="G12" s="10" t="inlineStr">
        <is>
          <t>GCP &gt; Databases &gt; Cloud SQL &gt; Free Instance</t>
        </is>
      </c>
      <c r="H12" s="10" t="inlineStr">
        <is>
          <t>gibibyte hour</t>
        </is>
      </c>
      <c r="I12" s="11" t="n">
        <v>1</v>
      </c>
      <c r="J12" s="11" t="n">
        <v>0</v>
      </c>
      <c r="K12" s="12" t="n">
        <v>0</v>
      </c>
      <c r="L12" s="10" t="inlineStr">
        <is>
          <t>Other</t>
        </is>
      </c>
      <c r="M12" s="12" t="n">
        <v>0</v>
      </c>
      <c r="N12" s="10" t="inlineStr">
        <is>
          <t>per gibibyte hour</t>
        </is>
      </c>
    </row>
    <row r="13">
      <c r="A13" s="10" t="inlineStr">
        <is>
          <t>GCP</t>
        </is>
      </c>
      <c r="B13" s="10" t="inlineStr">
        <is>
          <t>Cloud SQL</t>
        </is>
      </c>
      <c r="C13" s="10" t="inlineStr">
        <is>
          <t>9662-B51E-5089</t>
        </is>
      </c>
      <c r="D13" s="10" t="inlineStr">
        <is>
          <t>E577-1705-5479</t>
        </is>
      </c>
      <c r="E13" s="10" t="inlineStr">
        <is>
          <t>CloudSQL Free Tier Standard storage</t>
        </is>
      </c>
      <c r="F13" s="10" t="inlineStr">
        <is>
          <t>Default</t>
        </is>
      </c>
      <c r="G13" s="10" t="inlineStr">
        <is>
          <t>GCP &gt; Databases &gt; Cloud SQL &gt; Free Instance</t>
        </is>
      </c>
      <c r="H13" s="10" t="inlineStr">
        <is>
          <t>gibibyte month</t>
        </is>
      </c>
      <c r="I13" s="11" t="n">
        <v>1</v>
      </c>
      <c r="J13" s="11" t="n">
        <v>0</v>
      </c>
      <c r="K13" s="12" t="n">
        <v>0</v>
      </c>
      <c r="L13" s="10" t="inlineStr">
        <is>
          <t>Storage / retention</t>
        </is>
      </c>
      <c r="M13" s="12" t="n">
        <v>0</v>
      </c>
      <c r="N13" s="10" t="inlineStr">
        <is>
          <t>per gibibyte month</t>
        </is>
      </c>
    </row>
    <row r="14">
      <c r="A14" s="10" t="inlineStr">
        <is>
          <t>GCP</t>
        </is>
      </c>
      <c r="B14" s="10" t="inlineStr">
        <is>
          <t>Cloud Storage</t>
        </is>
      </c>
      <c r="C14" s="10" t="inlineStr">
        <is>
          <t>95FF-2EF5-5EA1</t>
        </is>
      </c>
      <c r="D14" s="10" t="inlineStr">
        <is>
          <t>1F8B-71B0-3D1B</t>
        </is>
      </c>
      <c r="E14" s="10" t="inlineStr">
        <is>
          <t>Download APAC</t>
        </is>
      </c>
      <c r="F14" s="10" t="inlineStr">
        <is>
          <t>Default</t>
        </is>
      </c>
      <c r="G14" s="10" t="inlineStr">
        <is>
          <t>GCP &gt; Network &gt; Egress &gt; GCS &gt; Premium</t>
        </is>
      </c>
      <c r="H14" s="10" t="inlineStr">
        <is>
          <t>gibibyte</t>
        </is>
      </c>
      <c r="I14" s="11" t="n">
        <v>1</v>
      </c>
      <c r="J14" s="11" t="n">
        <v>0</v>
      </c>
      <c r="K14" s="12" t="n">
        <v>0</v>
      </c>
      <c r="L14" s="10" t="inlineStr">
        <is>
          <t>Network / egress</t>
        </is>
      </c>
      <c r="M14" s="12" t="n">
        <v>0</v>
      </c>
      <c r="N14" s="10" t="inlineStr">
        <is>
          <t>per gibibyte</t>
        </is>
      </c>
    </row>
    <row r="15">
      <c r="A15" s="10" t="inlineStr">
        <is>
          <t>GCP</t>
        </is>
      </c>
      <c r="B15" s="10" t="inlineStr">
        <is>
          <t>Cloud Storage</t>
        </is>
      </c>
      <c r="C15" s="10" t="inlineStr">
        <is>
          <t>95FF-2EF5-5EA1</t>
        </is>
      </c>
      <c r="D15" s="10" t="inlineStr">
        <is>
          <t>1F8B-71B0-3D1B</t>
        </is>
      </c>
      <c r="E15" s="10" t="inlineStr">
        <is>
          <t>Download APAC</t>
        </is>
      </c>
      <c r="F15" s="10" t="inlineStr">
        <is>
          <t>Default</t>
        </is>
      </c>
      <c r="G15" s="10" t="inlineStr">
        <is>
          <t>GCP &gt; Network &gt; Egress &gt; GCS &gt; Premium</t>
        </is>
      </c>
      <c r="H15" s="10" t="inlineStr">
        <is>
          <t>gibibyte</t>
        </is>
      </c>
      <c r="I15" s="11" t="n">
        <v>1</v>
      </c>
      <c r="J15" s="11" t="n">
        <v>100</v>
      </c>
      <c r="K15" s="12" t="n">
        <v>11.346</v>
      </c>
      <c r="L15" s="10" t="inlineStr">
        <is>
          <t>Network / egress</t>
        </is>
      </c>
      <c r="M15" s="12" t="n">
        <v>11.346</v>
      </c>
      <c r="N15" s="10" t="inlineStr">
        <is>
          <t>per gibibyte</t>
        </is>
      </c>
    </row>
    <row r="16">
      <c r="A16" s="10" t="inlineStr">
        <is>
          <t>GCP</t>
        </is>
      </c>
      <c r="B16" s="10" t="inlineStr">
        <is>
          <t>Cloud Storage</t>
        </is>
      </c>
      <c r="C16" s="10" t="inlineStr">
        <is>
          <t>95FF-2EF5-5EA1</t>
        </is>
      </c>
      <c r="D16" s="10" t="inlineStr">
        <is>
          <t>1F8B-71B0-3D1B</t>
        </is>
      </c>
      <c r="E16" s="10" t="inlineStr">
        <is>
          <t>Download APAC</t>
        </is>
      </c>
      <c r="F16" s="10" t="inlineStr">
        <is>
          <t>Default</t>
        </is>
      </c>
      <c r="G16" s="10" t="inlineStr">
        <is>
          <t>GCP &gt; Network &gt; Egress &gt; GCS &gt; Premium</t>
        </is>
      </c>
      <c r="H16" s="10" t="inlineStr">
        <is>
          <t>gibibyte</t>
        </is>
      </c>
      <c r="I16" s="11" t="n">
        <v>1</v>
      </c>
      <c r="J16" s="11" t="n">
        <v>1024</v>
      </c>
      <c r="K16" s="12" t="n">
        <v>10.4005</v>
      </c>
      <c r="L16" s="10" t="inlineStr">
        <is>
          <t>Network / egress</t>
        </is>
      </c>
      <c r="M16" s="12" t="n">
        <v>10.4005</v>
      </c>
      <c r="N16" s="10" t="inlineStr">
        <is>
          <t>per gibibyte</t>
        </is>
      </c>
    </row>
    <row r="17">
      <c r="A17" s="10" t="inlineStr">
        <is>
          <t>GCP</t>
        </is>
      </c>
      <c r="B17" s="10" t="inlineStr">
        <is>
          <t>Cloud Storage</t>
        </is>
      </c>
      <c r="C17" s="10" t="inlineStr">
        <is>
          <t>95FF-2EF5-5EA1</t>
        </is>
      </c>
      <c r="D17" s="10" t="inlineStr">
        <is>
          <t>1F8B-71B0-3D1B</t>
        </is>
      </c>
      <c r="E17" s="10" t="inlineStr">
        <is>
          <t>Download APAC</t>
        </is>
      </c>
      <c r="F17" s="10" t="inlineStr">
        <is>
          <t>Default</t>
        </is>
      </c>
      <c r="G17" s="10" t="inlineStr">
        <is>
          <t>GCP &gt; Network &gt; Egress &gt; GCS &gt; Premium</t>
        </is>
      </c>
      <c r="H17" s="10" t="inlineStr">
        <is>
          <t>gibibyte</t>
        </is>
      </c>
      <c r="I17" s="11" t="n">
        <v>1</v>
      </c>
      <c r="J17" s="11" t="n">
        <v>10240</v>
      </c>
      <c r="K17" s="12" t="n">
        <v>7.564</v>
      </c>
      <c r="L17" s="10" t="inlineStr">
        <is>
          <t>Network / egress</t>
        </is>
      </c>
      <c r="M17" s="12" t="n">
        <v>7.564</v>
      </c>
      <c r="N17" s="10" t="inlineStr">
        <is>
          <t>per gibibyte</t>
        </is>
      </c>
    </row>
    <row r="18">
      <c r="A18" s="10" t="inlineStr">
        <is>
          <t>GCP</t>
        </is>
      </c>
      <c r="B18" s="10" t="inlineStr">
        <is>
          <t>Cloud Storage</t>
        </is>
      </c>
      <c r="C18" s="10" t="inlineStr">
        <is>
          <t>95FF-2EF5-5EA1</t>
        </is>
      </c>
      <c r="D18" s="10" t="inlineStr">
        <is>
          <t>9ADA-9AED-1B24</t>
        </is>
      </c>
      <c r="E18" s="10" t="inlineStr">
        <is>
          <t>Multi-Region Standard Class A Operations</t>
        </is>
      </c>
      <c r="F18" s="10" t="inlineStr">
        <is>
          <t>Default</t>
        </is>
      </c>
      <c r="G18" s="10" t="inlineStr">
        <is>
          <t>GCP &gt; Storage &gt; GCS &gt; Ops &gt; Standard &gt; Multi-Regional</t>
        </is>
      </c>
      <c r="H18" s="10" t="inlineStr">
        <is>
          <t>count</t>
        </is>
      </c>
      <c r="I18" s="11" t="n">
        <v>1000</v>
      </c>
      <c r="J18" s="11" t="n">
        <v>0</v>
      </c>
      <c r="K18" s="12" t="n">
        <v>0.9455</v>
      </c>
      <c r="L18" s="10" t="inlineStr">
        <is>
          <t>Storage / retention</t>
        </is>
      </c>
      <c r="M18" s="12" t="n">
        <v>0.9455</v>
      </c>
      <c r="N18" s="10" t="inlineStr">
        <is>
          <t>per 1,000 count</t>
        </is>
      </c>
    </row>
    <row r="19">
      <c r="A19" s="10" t="inlineStr">
        <is>
          <t>GCP</t>
        </is>
      </c>
      <c r="B19" s="10" t="inlineStr">
        <is>
          <t>Cloud Storage</t>
        </is>
      </c>
      <c r="C19" s="10" t="inlineStr">
        <is>
          <t>95FF-2EF5-5EA1</t>
        </is>
      </c>
      <c r="D19" s="10" t="inlineStr">
        <is>
          <t>4DBF-185F-A415</t>
        </is>
      </c>
      <c r="E19" s="10" t="inlineStr">
        <is>
          <t>Regional Standard Class A Operations</t>
        </is>
      </c>
      <c r="F19" s="10" t="inlineStr">
        <is>
          <t>Default</t>
        </is>
      </c>
      <c r="G19" s="10" t="inlineStr">
        <is>
          <t>GCP &gt; Storage &gt; GCS &gt; Ops &gt; Standard &gt; Regional and Dual-Regional</t>
        </is>
      </c>
      <c r="H19" s="10" t="inlineStr">
        <is>
          <t>count</t>
        </is>
      </c>
      <c r="I19" s="11" t="n">
        <v>1000</v>
      </c>
      <c r="J19" s="11" t="n">
        <v>0</v>
      </c>
      <c r="K19" s="12" t="n">
        <v>0</v>
      </c>
      <c r="L19" s="10" t="inlineStr">
        <is>
          <t>Storage / retention</t>
        </is>
      </c>
      <c r="M19" s="12" t="n">
        <v>0</v>
      </c>
      <c r="N19" s="10" t="inlineStr">
        <is>
          <t>per 1,000 count</t>
        </is>
      </c>
    </row>
    <row r="20">
      <c r="A20" s="10" t="inlineStr">
        <is>
          <t>GCP</t>
        </is>
      </c>
      <c r="B20" s="10" t="inlineStr">
        <is>
          <t>Cloud Storage</t>
        </is>
      </c>
      <c r="C20" s="10" t="inlineStr">
        <is>
          <t>95FF-2EF5-5EA1</t>
        </is>
      </c>
      <c r="D20" s="10" t="inlineStr">
        <is>
          <t>4DBF-185F-A415</t>
        </is>
      </c>
      <c r="E20" s="10" t="inlineStr">
        <is>
          <t>Regional Standard Class A Operations</t>
        </is>
      </c>
      <c r="F20" s="10" t="inlineStr">
        <is>
          <t>Default</t>
        </is>
      </c>
      <c r="G20" s="10" t="inlineStr">
        <is>
          <t>GCP &gt; Storage &gt; GCS &gt; Ops &gt; Standard &gt; Regional and Dual-Regional</t>
        </is>
      </c>
      <c r="H20" s="10" t="inlineStr">
        <is>
          <t>count</t>
        </is>
      </c>
      <c r="I20" s="11" t="n">
        <v>1000</v>
      </c>
      <c r="J20" s="11" t="n">
        <v>5000</v>
      </c>
      <c r="K20" s="12" t="n">
        <v>0.47275</v>
      </c>
      <c r="L20" s="10" t="inlineStr">
        <is>
          <t>Storage / retention</t>
        </is>
      </c>
      <c r="M20" s="12" t="n">
        <v>0.47275</v>
      </c>
      <c r="N20" s="10" t="inlineStr">
        <is>
          <t>per 1,000 count</t>
        </is>
      </c>
    </row>
    <row r="21">
      <c r="A21" s="10" t="inlineStr">
        <is>
          <t>GCP</t>
        </is>
      </c>
      <c r="B21" s="10" t="inlineStr">
        <is>
          <t>Cloud Storage</t>
        </is>
      </c>
      <c r="C21" s="10" t="inlineStr">
        <is>
          <t>95FF-2EF5-5EA1</t>
        </is>
      </c>
      <c r="D21" s="10" t="inlineStr">
        <is>
          <t>8AE7-5BBD-8F38</t>
        </is>
      </c>
      <c r="E21" s="10" t="inlineStr">
        <is>
          <t>Multi-Region Standard Class B Operations</t>
        </is>
      </c>
      <c r="F21" s="10" t="inlineStr">
        <is>
          <t>Default</t>
        </is>
      </c>
      <c r="G21" s="10" t="inlineStr">
        <is>
          <t>GCP &gt; Storage &gt; GCS &gt; Ops &gt; Standard &gt; Multi-Regional</t>
        </is>
      </c>
      <c r="H21" s="10" t="inlineStr">
        <is>
          <t>count</t>
        </is>
      </c>
      <c r="I21" s="11" t="n">
        <v>1000</v>
      </c>
      <c r="J21" s="11" t="n">
        <v>0</v>
      </c>
      <c r="K21" s="12" t="n">
        <v>0.03782</v>
      </c>
      <c r="L21" s="10" t="inlineStr">
        <is>
          <t>Storage / retention</t>
        </is>
      </c>
      <c r="M21" s="12" t="n">
        <v>0.03782</v>
      </c>
      <c r="N21" s="10" t="inlineStr">
        <is>
          <t>per 1,000 count</t>
        </is>
      </c>
    </row>
    <row r="22">
      <c r="A22" s="10" t="inlineStr">
        <is>
          <t>GCP</t>
        </is>
      </c>
      <c r="B22" s="10" t="inlineStr">
        <is>
          <t>Cloud Storage</t>
        </is>
      </c>
      <c r="C22" s="10" t="inlineStr">
        <is>
          <t>95FF-2EF5-5EA1</t>
        </is>
      </c>
      <c r="D22" s="10" t="inlineStr">
        <is>
          <t>7870-010B-2763</t>
        </is>
      </c>
      <c r="E22" s="10" t="inlineStr">
        <is>
          <t>Regional Standard Class B Operations</t>
        </is>
      </c>
      <c r="F22" s="10" t="inlineStr">
        <is>
          <t>Default</t>
        </is>
      </c>
      <c r="G22" s="10" t="inlineStr">
        <is>
          <t>GCP &gt; Storage &gt; GCS &gt; Ops &gt; Standard &gt; Regional and Dual-Regional</t>
        </is>
      </c>
      <c r="H22" s="10" t="inlineStr">
        <is>
          <t>count</t>
        </is>
      </c>
      <c r="I22" s="11" t="n">
        <v>1000</v>
      </c>
      <c r="J22" s="11" t="n">
        <v>0</v>
      </c>
      <c r="K22" s="12" t="n">
        <v>0</v>
      </c>
      <c r="L22" s="10" t="inlineStr">
        <is>
          <t>Storage / retention</t>
        </is>
      </c>
      <c r="M22" s="12" t="n">
        <v>0</v>
      </c>
      <c r="N22" s="10" t="inlineStr">
        <is>
          <t>per 1,000 count</t>
        </is>
      </c>
    </row>
    <row r="23">
      <c r="A23" s="10" t="inlineStr">
        <is>
          <t>GCP</t>
        </is>
      </c>
      <c r="B23" s="10" t="inlineStr">
        <is>
          <t>Cloud Storage</t>
        </is>
      </c>
      <c r="C23" s="10" t="inlineStr">
        <is>
          <t>95FF-2EF5-5EA1</t>
        </is>
      </c>
      <c r="D23" s="10" t="inlineStr">
        <is>
          <t>7870-010B-2763</t>
        </is>
      </c>
      <c r="E23" s="10" t="inlineStr">
        <is>
          <t>Regional Standard Class B Operations</t>
        </is>
      </c>
      <c r="F23" s="10" t="inlineStr">
        <is>
          <t>Default</t>
        </is>
      </c>
      <c r="G23" s="10" t="inlineStr">
        <is>
          <t>GCP &gt; Storage &gt; GCS &gt; Ops &gt; Standard &gt; Regional and Dual-Regional</t>
        </is>
      </c>
      <c r="H23" s="10" t="inlineStr">
        <is>
          <t>count</t>
        </is>
      </c>
      <c r="I23" s="11" t="n">
        <v>1000</v>
      </c>
      <c r="J23" s="11" t="n">
        <v>50000</v>
      </c>
      <c r="K23" s="12" t="n">
        <v>0.03782</v>
      </c>
      <c r="L23" s="10" t="inlineStr">
        <is>
          <t>Storage / retention</t>
        </is>
      </c>
      <c r="M23" s="12" t="n">
        <v>0.03782</v>
      </c>
      <c r="N23" s="10" t="inlineStr">
        <is>
          <t>per 1,000 count</t>
        </is>
      </c>
    </row>
    <row r="24">
      <c r="A24" s="10" t="inlineStr">
        <is>
          <t>GCP</t>
        </is>
      </c>
      <c r="B24" s="10" t="inlineStr">
        <is>
          <t>Cloud Storage</t>
        </is>
      </c>
      <c r="C24" s="10" t="inlineStr">
        <is>
          <t>95FF-2EF5-5EA1</t>
        </is>
      </c>
      <c r="D24" s="10" t="inlineStr">
        <is>
          <t>AED0-3315-7B11</t>
        </is>
      </c>
      <c r="E24" s="10" t="inlineStr">
        <is>
          <t>Network Data Transfer GCP Replication within Northern America</t>
        </is>
      </c>
      <c r="F24" s="10" t="inlineStr">
        <is>
          <t>Default</t>
        </is>
      </c>
      <c r="G24" s="10" t="inlineStr">
        <is>
          <t>GCP &gt; Storage &gt; GCS &gt; Egress &gt; Replication &gt; Default Replication</t>
        </is>
      </c>
      <c r="H24" s="10" t="inlineStr">
        <is>
          <t>gibibyte</t>
        </is>
      </c>
      <c r="I24" s="11" t="n">
        <v>1</v>
      </c>
      <c r="J24" s="11" t="n">
        <v>0</v>
      </c>
      <c r="K24" s="12" t="n">
        <v>1.891</v>
      </c>
      <c r="L24" s="10" t="inlineStr">
        <is>
          <t>Network / egress</t>
        </is>
      </c>
      <c r="M24" s="12" t="n">
        <v>1.891</v>
      </c>
      <c r="N24" s="10" t="inlineStr">
        <is>
          <t>per gibibyte</t>
        </is>
      </c>
    </row>
    <row r="25">
      <c r="A25" s="10" t="inlineStr">
        <is>
          <t>GCP</t>
        </is>
      </c>
      <c r="B25" s="10" t="inlineStr">
        <is>
          <t>Cloud Storage</t>
        </is>
      </c>
      <c r="C25" s="10" t="inlineStr">
        <is>
          <t>95FF-2EF5-5EA1</t>
        </is>
      </c>
      <c r="D25" s="10" t="inlineStr">
        <is>
          <t>3C8A-99C5-F47B</t>
        </is>
      </c>
      <c r="E25" s="10" t="inlineStr">
        <is>
          <t>Network Data Transfer GCP Multi-region within Northern America</t>
        </is>
      </c>
      <c r="F25" s="10" t="inlineStr">
        <is>
          <t>Default</t>
        </is>
      </c>
      <c r="G25" s="10" t="inlineStr">
        <is>
          <t>GCP &gt; Network &gt; Egress &gt; GCS &gt; Multi-region</t>
        </is>
      </c>
      <c r="H25" s="10" t="inlineStr">
        <is>
          <t>gibibyte</t>
        </is>
      </c>
      <c r="I25" s="11" t="n">
        <v>1</v>
      </c>
      <c r="J25" s="11" t="n">
        <v>0</v>
      </c>
      <c r="K25" s="12" t="n">
        <v>1.891</v>
      </c>
      <c r="L25" s="10" t="inlineStr">
        <is>
          <t>Network / egress</t>
        </is>
      </c>
      <c r="M25" s="12" t="n">
        <v>1.891</v>
      </c>
      <c r="N25" s="10" t="inlineStr">
        <is>
          <t>per gibibyte</t>
        </is>
      </c>
    </row>
    <row r="26">
      <c r="A26" s="10" t="inlineStr">
        <is>
          <t>GCP</t>
        </is>
      </c>
      <c r="B26" s="10" t="inlineStr">
        <is>
          <t>Cloud Storage</t>
        </is>
      </c>
      <c r="C26" s="10" t="inlineStr">
        <is>
          <t>95FF-2EF5-5EA1</t>
        </is>
      </c>
      <c r="D26" s="10" t="inlineStr">
        <is>
          <t>B1FE-19F7-6D1B</t>
        </is>
      </c>
      <c r="E26" s="10" t="inlineStr">
        <is>
          <t>NA-based Storage Data Transfer Out via peered/interconnect network</t>
        </is>
      </c>
      <c r="F26" s="10" t="inlineStr">
        <is>
          <t>Default</t>
        </is>
      </c>
      <c r="G26" s="10" t="inlineStr">
        <is>
          <t>GCP &gt; Network &gt; Interconnect &gt; Carrier Interconnect &gt; Egress</t>
        </is>
      </c>
      <c r="H26" s="10" t="inlineStr">
        <is>
          <t>gibibyte</t>
        </is>
      </c>
      <c r="I26" s="11" t="n">
        <v>1</v>
      </c>
      <c r="J26" s="11" t="n">
        <v>0</v>
      </c>
      <c r="K26" s="12" t="n">
        <v>7.564</v>
      </c>
      <c r="L26" s="10" t="inlineStr">
        <is>
          <t>Network / egress</t>
        </is>
      </c>
      <c r="M26" s="12" t="n">
        <v>7.564</v>
      </c>
      <c r="N26" s="10" t="inlineStr">
        <is>
          <t>per gibibyte</t>
        </is>
      </c>
    </row>
    <row r="27">
      <c r="A27" s="10" t="inlineStr">
        <is>
          <t>GCP</t>
        </is>
      </c>
      <c r="B27" s="10" t="inlineStr">
        <is>
          <t>Cloud Storage</t>
        </is>
      </c>
      <c r="C27" s="10" t="inlineStr">
        <is>
          <t>95FF-2EF5-5EA1</t>
        </is>
      </c>
      <c r="D27" s="10" t="inlineStr">
        <is>
          <t>0D5D-6E23-4250</t>
        </is>
      </c>
      <c r="E27" s="10" t="inlineStr">
        <is>
          <t>Standard Storage US Multi-region</t>
        </is>
      </c>
      <c r="F27" s="10" t="inlineStr">
        <is>
          <t>Default</t>
        </is>
      </c>
      <c r="G27" s="10" t="inlineStr">
        <is>
          <t>GCP &gt; Storage &gt; GCS &gt; Storage &gt; Standard &gt; Multi-Regional</t>
        </is>
      </c>
      <c r="H27" s="10" t="inlineStr">
        <is>
          <t>gibibyte month</t>
        </is>
      </c>
      <c r="I27" s="11" t="n">
        <v>1</v>
      </c>
      <c r="J27" s="11" t="n">
        <v>0</v>
      </c>
      <c r="K27" s="12" t="n">
        <v>2.4583</v>
      </c>
      <c r="L27" s="10" t="inlineStr">
        <is>
          <t>Storage / retention</t>
        </is>
      </c>
      <c r="M27" s="12" t="n">
        <v>2.4583</v>
      </c>
      <c r="N27" s="10" t="inlineStr">
        <is>
          <t>per gibibyte month</t>
        </is>
      </c>
    </row>
    <row r="28">
      <c r="A28" s="10" t="inlineStr">
        <is>
          <t>GCP</t>
        </is>
      </c>
      <c r="B28" s="10" t="inlineStr">
        <is>
          <t>Cloud Storage</t>
        </is>
      </c>
      <c r="C28" s="10" t="inlineStr">
        <is>
          <t>95FF-2EF5-5EA1</t>
        </is>
      </c>
      <c r="D28" s="10" t="inlineStr">
        <is>
          <t>E5F0-6A5D-7BAD</t>
        </is>
      </c>
      <c r="E28" s="10" t="inlineStr">
        <is>
          <t>Standard Storage US Regional</t>
        </is>
      </c>
      <c r="F28" s="10" t="inlineStr">
        <is>
          <t>Default</t>
        </is>
      </c>
      <c r="G28" s="10" t="inlineStr">
        <is>
          <t>GCP &gt; Storage &gt; GCS &gt; Storage &gt; Standard &gt; Regional and Dual-Regional</t>
        </is>
      </c>
      <c r="H28" s="10" t="inlineStr">
        <is>
          <t>gibibyte month</t>
        </is>
      </c>
      <c r="I28" s="11" t="n">
        <v>1</v>
      </c>
      <c r="J28" s="11" t="n">
        <v>0</v>
      </c>
      <c r="K28" s="12" t="n">
        <v>0</v>
      </c>
      <c r="L28" s="10" t="inlineStr">
        <is>
          <t>Storage / retention</t>
        </is>
      </c>
      <c r="M28" s="12" t="n">
        <v>0</v>
      </c>
      <c r="N28" s="10" t="inlineStr">
        <is>
          <t>per gibibyte month</t>
        </is>
      </c>
    </row>
    <row r="29">
      <c r="A29" s="10" t="inlineStr">
        <is>
          <t>GCP</t>
        </is>
      </c>
      <c r="B29" s="10" t="inlineStr">
        <is>
          <t>Cloud Storage</t>
        </is>
      </c>
      <c r="C29" s="10" t="inlineStr">
        <is>
          <t>95FF-2EF5-5EA1</t>
        </is>
      </c>
      <c r="D29" s="10" t="inlineStr">
        <is>
          <t>E5F0-6A5D-7BAD</t>
        </is>
      </c>
      <c r="E29" s="10" t="inlineStr">
        <is>
          <t>Standard Storage US Regional</t>
        </is>
      </c>
      <c r="F29" s="10" t="inlineStr">
        <is>
          <t>Default</t>
        </is>
      </c>
      <c r="G29" s="10" t="inlineStr">
        <is>
          <t>GCP &gt; Storage &gt; GCS &gt; Storage &gt; Standard &gt; Regional and Dual-Regional</t>
        </is>
      </c>
      <c r="H29" s="10" t="inlineStr">
        <is>
          <t>gibibyte month</t>
        </is>
      </c>
      <c r="I29" s="11" t="n">
        <v>1</v>
      </c>
      <c r="J29" s="11" t="n">
        <v>5</v>
      </c>
      <c r="K29" s="12" t="n">
        <v>1.891</v>
      </c>
      <c r="L29" s="10" t="inlineStr">
        <is>
          <t>Storage / retention</t>
        </is>
      </c>
      <c r="M29" s="12" t="n">
        <v>1.891</v>
      </c>
      <c r="N29" s="10" t="inlineStr">
        <is>
          <t>per gibibyte month</t>
        </is>
      </c>
    </row>
    <row r="30">
      <c r="A30" s="10" t="inlineStr">
        <is>
          <t>GCP</t>
        </is>
      </c>
      <c r="B30" s="10" t="inlineStr">
        <is>
          <t>Artifact Registry</t>
        </is>
      </c>
      <c r="C30" s="10" t="inlineStr">
        <is>
          <t>149C-F9EC-3994</t>
        </is>
      </c>
      <c r="D30" s="10" t="inlineStr">
        <is>
          <t>8502-299A-ABAF</t>
        </is>
      </c>
      <c r="E30" s="10" t="inlineStr">
        <is>
          <t>Artifact Registry Storage</t>
        </is>
      </c>
      <c r="F30" s="10" t="inlineStr">
        <is>
          <t>Default</t>
        </is>
      </c>
      <c r="G30" s="10" t="inlineStr">
        <is>
          <t>GCP &gt; Other &gt; Artifact Registry &gt; Artifacts</t>
        </is>
      </c>
      <c r="H30" s="10" t="inlineStr">
        <is>
          <t>gibibyte month</t>
        </is>
      </c>
      <c r="I30" s="11" t="n">
        <v>1</v>
      </c>
      <c r="J30" s="11" t="n">
        <v>0</v>
      </c>
      <c r="K30" s="12" t="n">
        <v>0</v>
      </c>
      <c r="L30" s="10" t="inlineStr">
        <is>
          <t>Storage / retention</t>
        </is>
      </c>
      <c r="M30" s="12" t="n">
        <v>0</v>
      </c>
      <c r="N30" s="10" t="inlineStr">
        <is>
          <t>per gibibyte month</t>
        </is>
      </c>
    </row>
    <row r="31">
      <c r="A31" s="10" t="inlineStr">
        <is>
          <t>GCP</t>
        </is>
      </c>
      <c r="B31" s="10" t="inlineStr">
        <is>
          <t>Artifact Registry</t>
        </is>
      </c>
      <c r="C31" s="10" t="inlineStr">
        <is>
          <t>149C-F9EC-3994</t>
        </is>
      </c>
      <c r="D31" s="10" t="inlineStr">
        <is>
          <t>8502-299A-ABAF</t>
        </is>
      </c>
      <c r="E31" s="10" t="inlineStr">
        <is>
          <t>Artifact Registry Storage</t>
        </is>
      </c>
      <c r="F31" s="10" t="inlineStr">
        <is>
          <t>Default</t>
        </is>
      </c>
      <c r="G31" s="10" t="inlineStr">
        <is>
          <t>GCP &gt; Other &gt; Artifact Registry &gt; Artifacts</t>
        </is>
      </c>
      <c r="H31" s="10" t="inlineStr">
        <is>
          <t>gibibyte month</t>
        </is>
      </c>
      <c r="I31" s="11" t="n">
        <v>1</v>
      </c>
      <c r="J31" s="11" t="n">
        <v>0.5</v>
      </c>
      <c r="K31" s="12" t="n">
        <v>9.455</v>
      </c>
      <c r="L31" s="10" t="inlineStr">
        <is>
          <t>Storage / retention</t>
        </is>
      </c>
      <c r="M31" s="12" t="n">
        <v>9.455</v>
      </c>
      <c r="N31" s="10" t="inlineStr">
        <is>
          <t>per gibibyte month</t>
        </is>
      </c>
    </row>
    <row r="32">
      <c r="A32" s="10" t="inlineStr">
        <is>
          <t>GCP</t>
        </is>
      </c>
      <c r="B32" s="10" t="inlineStr">
        <is>
          <t>Artifact Registry</t>
        </is>
      </c>
      <c r="C32" s="10" t="inlineStr">
        <is>
          <t>149C-F9EC-3994</t>
        </is>
      </c>
      <c r="D32" s="10" t="inlineStr">
        <is>
          <t>E794-0787-45A9</t>
        </is>
      </c>
      <c r="E32" s="10" t="inlineStr">
        <is>
          <t>Artifact Registry GOOGLE-API Egress</t>
        </is>
      </c>
      <c r="F32" s="10" t="inlineStr">
        <is>
          <t>Default</t>
        </is>
      </c>
      <c r="G32" s="10" t="inlineStr">
        <is>
          <t>GCP &gt; Network &gt; Egress &gt; Artifact Registry</t>
        </is>
      </c>
      <c r="H32" s="10" t="inlineStr">
        <is>
          <t>gibibyte</t>
        </is>
      </c>
      <c r="I32" s="11" t="n">
        <v>1</v>
      </c>
      <c r="J32" s="11" t="n">
        <v>0</v>
      </c>
      <c r="K32" s="12" t="n">
        <v>0</v>
      </c>
      <c r="L32" s="10" t="inlineStr">
        <is>
          <t>Network / egress</t>
        </is>
      </c>
      <c r="M32" s="12" t="n">
        <v>0</v>
      </c>
      <c r="N32" s="10" t="inlineStr">
        <is>
          <t>per gibibyte</t>
        </is>
      </c>
    </row>
    <row r="33">
      <c r="A33" s="10" t="inlineStr">
        <is>
          <t>GCP</t>
        </is>
      </c>
      <c r="B33" s="10" t="inlineStr">
        <is>
          <t>Artifact Registry</t>
        </is>
      </c>
      <c r="C33" s="10" t="inlineStr">
        <is>
          <t>149C-F9EC-3994</t>
        </is>
      </c>
      <c r="D33" s="10" t="inlineStr">
        <is>
          <t>173D-B415-5815</t>
        </is>
      </c>
      <c r="E33" s="10" t="inlineStr">
        <is>
          <t>Artifact Registry Network Inter Region Egress North America to North America</t>
        </is>
      </c>
      <c r="F33" s="10" t="inlineStr">
        <is>
          <t>Default</t>
        </is>
      </c>
      <c r="G33" s="10" t="inlineStr">
        <is>
          <t>GCP &gt; Network &gt; Egress &gt; Artifact Registry &gt; Inter-region</t>
        </is>
      </c>
      <c r="H33" s="10" t="inlineStr">
        <is>
          <t>gibibyte</t>
        </is>
      </c>
      <c r="I33" s="11" t="n">
        <v>1</v>
      </c>
      <c r="J33" s="11" t="n">
        <v>0</v>
      </c>
      <c r="K33" s="12" t="n">
        <v>0.9455</v>
      </c>
      <c r="L33" s="10" t="inlineStr">
        <is>
          <t>Network / egress</t>
        </is>
      </c>
      <c r="M33" s="12" t="n">
        <v>0.9455</v>
      </c>
      <c r="N33" s="10" t="inlineStr">
        <is>
          <t>per gibibyte</t>
        </is>
      </c>
    </row>
    <row r="34">
      <c r="A34" s="10" t="inlineStr">
        <is>
          <t>GCP</t>
        </is>
      </c>
      <c r="B34" s="10" t="inlineStr">
        <is>
          <t>Artifact Registry</t>
        </is>
      </c>
      <c r="C34" s="10" t="inlineStr">
        <is>
          <t>149C-F9EC-3994</t>
        </is>
      </c>
      <c r="D34" s="10" t="inlineStr">
        <is>
          <t>72BD-5309-1C4C</t>
        </is>
      </c>
      <c r="E34" s="10" t="inlineStr">
        <is>
          <t>Artifact Registry Network Internet Egress Intercontinental (Excl Oceania, Africa and China)</t>
        </is>
      </c>
      <c r="F34" s="10" t="inlineStr">
        <is>
          <t>Default</t>
        </is>
      </c>
      <c r="G34" s="10" t="inlineStr">
        <is>
          <t>GCP &gt; Network &gt; Egress &gt; Artifact Registry &gt; Premium</t>
        </is>
      </c>
      <c r="H34" s="10" t="inlineStr">
        <is>
          <t>gibibyte</t>
        </is>
      </c>
      <c r="I34" s="11" t="n">
        <v>1</v>
      </c>
      <c r="J34" s="11" t="n">
        <v>0</v>
      </c>
      <c r="K34" s="12" t="n">
        <v>11.346</v>
      </c>
      <c r="L34" s="10" t="inlineStr">
        <is>
          <t>Network / egress</t>
        </is>
      </c>
      <c r="M34" s="12" t="n">
        <v>11.346</v>
      </c>
      <c r="N34" s="10" t="inlineStr">
        <is>
          <t>per gibibyte</t>
        </is>
      </c>
    </row>
    <row r="35">
      <c r="A35" s="10" t="inlineStr">
        <is>
          <t>GCP</t>
        </is>
      </c>
      <c r="B35" s="10" t="inlineStr">
        <is>
          <t>Artifact Registry</t>
        </is>
      </c>
      <c r="C35" s="10" t="inlineStr">
        <is>
          <t>149C-F9EC-3994</t>
        </is>
      </c>
      <c r="D35" s="10" t="inlineStr">
        <is>
          <t>72BD-5309-1C4C</t>
        </is>
      </c>
      <c r="E35" s="10" t="inlineStr">
        <is>
          <t>Artifact Registry Network Internet Egress Intercontinental (Excl Oceania, Africa and China)</t>
        </is>
      </c>
      <c r="F35" s="10" t="inlineStr">
        <is>
          <t>Default</t>
        </is>
      </c>
      <c r="G35" s="10" t="inlineStr">
        <is>
          <t>GCP &gt; Network &gt; Egress &gt; Artifact Registry &gt; Premium</t>
        </is>
      </c>
      <c r="H35" s="10" t="inlineStr">
        <is>
          <t>gibibyte</t>
        </is>
      </c>
      <c r="I35" s="11" t="n">
        <v>1</v>
      </c>
      <c r="J35" s="11" t="n">
        <v>10240</v>
      </c>
      <c r="K35" s="12" t="n">
        <v>8.03675</v>
      </c>
      <c r="L35" s="10" t="inlineStr">
        <is>
          <t>Network / egress</t>
        </is>
      </c>
      <c r="M35" s="12" t="n">
        <v>8.03675</v>
      </c>
      <c r="N35" s="10" t="inlineStr">
        <is>
          <t>per gibibyte</t>
        </is>
      </c>
    </row>
    <row r="36">
      <c r="A36" s="10" t="inlineStr">
        <is>
          <t>GCP</t>
        </is>
      </c>
      <c r="B36" s="10" t="inlineStr">
        <is>
          <t>Artifact Registry</t>
        </is>
      </c>
      <c r="C36" s="10" t="inlineStr">
        <is>
          <t>149C-F9EC-3994</t>
        </is>
      </c>
      <c r="D36" s="10" t="inlineStr">
        <is>
          <t>72BD-5309-1C4C</t>
        </is>
      </c>
      <c r="E36" s="10" t="inlineStr">
        <is>
          <t>Artifact Registry Network Internet Egress Intercontinental (Excl Oceania, Africa and China)</t>
        </is>
      </c>
      <c r="F36" s="10" t="inlineStr">
        <is>
          <t>Default</t>
        </is>
      </c>
      <c r="G36" s="10" t="inlineStr">
        <is>
          <t>GCP &gt; Network &gt; Egress &gt; Artifact Registry &gt; Premium</t>
        </is>
      </c>
      <c r="H36" s="10" t="inlineStr">
        <is>
          <t>gibibyte</t>
        </is>
      </c>
      <c r="I36" s="11" t="n">
        <v>1</v>
      </c>
      <c r="J36" s="11" t="n">
        <v>153600</v>
      </c>
      <c r="K36" s="12" t="n">
        <v>7.564</v>
      </c>
      <c r="L36" s="10" t="inlineStr">
        <is>
          <t>Network / egress</t>
        </is>
      </c>
      <c r="M36" s="12" t="n">
        <v>7.564</v>
      </c>
      <c r="N36" s="10" t="inlineStr">
        <is>
          <t>per gibibyte</t>
        </is>
      </c>
    </row>
    <row r="37">
      <c r="A37" s="10" t="inlineStr">
        <is>
          <t>GCP</t>
        </is>
      </c>
      <c r="B37" s="10" t="inlineStr">
        <is>
          <t>Artifact Registry</t>
        </is>
      </c>
      <c r="C37" s="10" t="inlineStr">
        <is>
          <t>149C-F9EC-3994</t>
        </is>
      </c>
      <c r="D37" s="10" t="inlineStr">
        <is>
          <t>546B-E8F2-6FF5</t>
        </is>
      </c>
      <c r="E37" s="10" t="inlineStr">
        <is>
          <t>Artifact Registry Network Intra Region Egress</t>
        </is>
      </c>
      <c r="F37" s="10" t="inlineStr">
        <is>
          <t>Default</t>
        </is>
      </c>
      <c r="G37" s="10" t="inlineStr">
        <is>
          <t>GCP &gt; Network &gt; Egress &gt; Artifact Registry &gt; Intra-region</t>
        </is>
      </c>
      <c r="H37" s="10" t="inlineStr">
        <is>
          <t>gibibyte</t>
        </is>
      </c>
      <c r="I37" s="11" t="n">
        <v>1</v>
      </c>
      <c r="J37" s="11" t="n">
        <v>0</v>
      </c>
      <c r="K37" s="12" t="n">
        <v>0</v>
      </c>
      <c r="L37" s="10" t="inlineStr">
        <is>
          <t>Network / egress</t>
        </is>
      </c>
      <c r="M37" s="12" t="n">
        <v>0</v>
      </c>
      <c r="N37" s="10" t="inlineStr">
        <is>
          <t>per gibibyte</t>
        </is>
      </c>
    </row>
    <row r="38">
      <c r="A38" s="10" t="inlineStr">
        <is>
          <t>GCP</t>
        </is>
      </c>
      <c r="B38" s="10" t="inlineStr">
        <is>
          <t>Cloud Build</t>
        </is>
      </c>
      <c r="C38" s="10" t="inlineStr">
        <is>
          <t>8B5D-EF7D-EB12</t>
        </is>
      </c>
      <c r="D38" s="10" t="inlineStr">
        <is>
          <t>A464-9020-6404</t>
        </is>
      </c>
      <c r="E38" s="10" t="inlineStr">
        <is>
          <t>Build time e2-standard-2</t>
        </is>
      </c>
      <c r="F38" s="10" t="inlineStr">
        <is>
          <t>Default</t>
        </is>
      </c>
      <c r="G38" s="10" t="inlineStr">
        <is>
          <t>GCP &gt; Other &gt; Cloud Build &gt; Other</t>
        </is>
      </c>
      <c r="H38" s="10" t="inlineStr">
        <is>
          <t>minute</t>
        </is>
      </c>
      <c r="I38" s="11" t="n">
        <v>1</v>
      </c>
      <c r="J38" s="11" t="n">
        <v>0</v>
      </c>
      <c r="K38" s="12" t="n">
        <v>0</v>
      </c>
      <c r="L38" s="10" t="inlineStr">
        <is>
          <t>Compute time</t>
        </is>
      </c>
      <c r="M38" s="12" t="n">
        <v>0</v>
      </c>
      <c r="N38" s="10" t="inlineStr">
        <is>
          <t>per minute</t>
        </is>
      </c>
    </row>
    <row r="39">
      <c r="A39" s="10" t="inlineStr">
        <is>
          <t>GCP</t>
        </is>
      </c>
      <c r="B39" s="10" t="inlineStr">
        <is>
          <t>Cloud Build</t>
        </is>
      </c>
      <c r="C39" s="10" t="inlineStr">
        <is>
          <t>8B5D-EF7D-EB12</t>
        </is>
      </c>
      <c r="D39" s="10" t="inlineStr">
        <is>
          <t>A464-9020-6404</t>
        </is>
      </c>
      <c r="E39" s="10" t="inlineStr">
        <is>
          <t>Build time e2-standard-2</t>
        </is>
      </c>
      <c r="F39" s="10" t="inlineStr">
        <is>
          <t>Default</t>
        </is>
      </c>
      <c r="G39" s="10" t="inlineStr">
        <is>
          <t>GCP &gt; Other &gt; Cloud Build &gt; Other</t>
        </is>
      </c>
      <c r="H39" s="10" t="inlineStr">
        <is>
          <t>minute</t>
        </is>
      </c>
      <c r="I39" s="11" t="n">
        <v>1</v>
      </c>
      <c r="J39" s="11" t="n">
        <v>2500</v>
      </c>
      <c r="K39" s="12" t="n">
        <v>0.5673</v>
      </c>
      <c r="L39" s="10" t="inlineStr">
        <is>
          <t>Compute time</t>
        </is>
      </c>
      <c r="M39" s="12" t="n">
        <v>0.5673</v>
      </c>
      <c r="N39" s="10" t="inlineStr">
        <is>
          <t>per minute</t>
        </is>
      </c>
    </row>
    <row r="40">
      <c r="A40" s="10" t="inlineStr">
        <is>
          <t>GCP</t>
        </is>
      </c>
      <c r="B40" s="10" t="inlineStr">
        <is>
          <t>Cloud Build</t>
        </is>
      </c>
      <c r="C40" s="10" t="inlineStr">
        <is>
          <t>8B5D-EF7D-EB12</t>
        </is>
      </c>
      <c r="D40" s="10" t="inlineStr">
        <is>
          <t>D5F9-06F3-71E0</t>
        </is>
      </c>
      <c r="E40" s="10" t="inlineStr">
        <is>
          <t>Cloud Build: Network Data Transfer Out Internet Premium within North America</t>
        </is>
      </c>
      <c r="F40" s="10" t="inlineStr">
        <is>
          <t>Default</t>
        </is>
      </c>
      <c r="G40" s="10" t="inlineStr">
        <is>
          <t>GCP &gt; Cloud Application Ecosystem &gt; Cloud Build &gt; Network &gt; Egress &gt; Internet &gt; Premium</t>
        </is>
      </c>
      <c r="H40" s="10" t="inlineStr">
        <is>
          <t>gibibyte</t>
        </is>
      </c>
      <c r="I40" s="11" t="n">
        <v>1</v>
      </c>
      <c r="J40" s="11" t="n">
        <v>0</v>
      </c>
      <c r="K40" s="12" t="n">
        <v>11.346</v>
      </c>
      <c r="L40" s="10" t="inlineStr">
        <is>
          <t>Network / egress</t>
        </is>
      </c>
      <c r="M40" s="12" t="n">
        <v>11.346</v>
      </c>
      <c r="N40" s="10" t="inlineStr">
        <is>
          <t>per gibibyte</t>
        </is>
      </c>
    </row>
    <row r="41">
      <c r="A41" s="10" t="inlineStr">
        <is>
          <t>GCP</t>
        </is>
      </c>
      <c r="B41" s="10" t="inlineStr">
        <is>
          <t>Cloud Build</t>
        </is>
      </c>
      <c r="C41" s="10" t="inlineStr">
        <is>
          <t>8B5D-EF7D-EB12</t>
        </is>
      </c>
      <c r="D41" s="10" t="inlineStr">
        <is>
          <t>D5F9-06F3-71E0</t>
        </is>
      </c>
      <c r="E41" s="10" t="inlineStr">
        <is>
          <t>Cloud Build: Network Data Transfer Out Internet Premium within North America</t>
        </is>
      </c>
      <c r="F41" s="10" t="inlineStr">
        <is>
          <t>Default</t>
        </is>
      </c>
      <c r="G41" s="10" t="inlineStr">
        <is>
          <t>GCP &gt; Cloud Application Ecosystem &gt; Cloud Build &gt; Network &gt; Egress &gt; Internet &gt; Premium</t>
        </is>
      </c>
      <c r="H41" s="10" t="inlineStr">
        <is>
          <t>gibibyte</t>
        </is>
      </c>
      <c r="I41" s="11" t="n">
        <v>1</v>
      </c>
      <c r="J41" s="11" t="n">
        <v>1024</v>
      </c>
      <c r="K41" s="12" t="n">
        <v>10.4005</v>
      </c>
      <c r="L41" s="10" t="inlineStr">
        <is>
          <t>Network / egress</t>
        </is>
      </c>
      <c r="M41" s="12" t="n">
        <v>10.4005</v>
      </c>
      <c r="N41" s="10" t="inlineStr">
        <is>
          <t>per gibibyte</t>
        </is>
      </c>
    </row>
    <row r="42">
      <c r="A42" s="10" t="inlineStr">
        <is>
          <t>GCP</t>
        </is>
      </c>
      <c r="B42" s="10" t="inlineStr">
        <is>
          <t>Cloud Build</t>
        </is>
      </c>
      <c r="C42" s="10" t="inlineStr">
        <is>
          <t>8B5D-EF7D-EB12</t>
        </is>
      </c>
      <c r="D42" s="10" t="inlineStr">
        <is>
          <t>D5F9-06F3-71E0</t>
        </is>
      </c>
      <c r="E42" s="10" t="inlineStr">
        <is>
          <t>Cloud Build: Network Data Transfer Out Internet Premium within North America</t>
        </is>
      </c>
      <c r="F42" s="10" t="inlineStr">
        <is>
          <t>Default</t>
        </is>
      </c>
      <c r="G42" s="10" t="inlineStr">
        <is>
          <t>GCP &gt; Cloud Application Ecosystem &gt; Cloud Build &gt; Network &gt; Egress &gt; Internet &gt; Premium</t>
        </is>
      </c>
      <c r="H42" s="10" t="inlineStr">
        <is>
          <t>gibibyte</t>
        </is>
      </c>
      <c r="I42" s="11" t="n">
        <v>1</v>
      </c>
      <c r="J42" s="11" t="n">
        <v>10240</v>
      </c>
      <c r="K42" s="12" t="n">
        <v>7.564</v>
      </c>
      <c r="L42" s="10" t="inlineStr">
        <is>
          <t>Network / egress</t>
        </is>
      </c>
      <c r="M42" s="12" t="n">
        <v>7.564</v>
      </c>
      <c r="N42" s="10" t="inlineStr">
        <is>
          <t>per gibibyte</t>
        </is>
      </c>
    </row>
    <row r="43">
      <c r="A43" s="10" t="inlineStr">
        <is>
          <t>GCP</t>
        </is>
      </c>
      <c r="B43" s="10" t="inlineStr">
        <is>
          <t>Cloud Scheduler</t>
        </is>
      </c>
      <c r="C43" s="10" t="inlineStr">
        <is>
          <t>1F14-4801-0E16</t>
        </is>
      </c>
      <c r="D43" s="10" t="inlineStr">
        <is>
          <t>A5D6-43A2-28A7</t>
        </is>
      </c>
      <c r="E43" s="10" t="inlineStr">
        <is>
          <t>Jobs</t>
        </is>
      </c>
      <c r="F43" s="10" t="inlineStr">
        <is>
          <t>Default</t>
        </is>
      </c>
      <c r="G43" s="10" t="inlineStr">
        <is>
          <t>GCP &gt; Serverless &gt; Cloud Scheduler &gt; Other</t>
        </is>
      </c>
      <c r="H43" s="10" t="inlineStr">
        <is>
          <t>count</t>
        </is>
      </c>
      <c r="I43" s="11" t="n">
        <v>31</v>
      </c>
      <c r="J43" s="11" t="n">
        <v>0</v>
      </c>
      <c r="K43" s="12" t="n">
        <v>0</v>
      </c>
      <c r="L43" s="10" t="inlineStr">
        <is>
          <t>Other</t>
        </is>
      </c>
      <c r="M43" s="12" t="n">
        <v>0</v>
      </c>
      <c r="N43" s="10" t="inlineStr">
        <is>
          <t>per 31 count</t>
        </is>
      </c>
    </row>
    <row r="44">
      <c r="A44" s="10" t="inlineStr">
        <is>
          <t>GCP</t>
        </is>
      </c>
      <c r="B44" s="10" t="inlineStr">
        <is>
          <t>Cloud Scheduler</t>
        </is>
      </c>
      <c r="C44" s="10" t="inlineStr">
        <is>
          <t>1F14-4801-0E16</t>
        </is>
      </c>
      <c r="D44" s="10" t="inlineStr">
        <is>
          <t>A5D6-43A2-28A7</t>
        </is>
      </c>
      <c r="E44" s="10" t="inlineStr">
        <is>
          <t>Jobs</t>
        </is>
      </c>
      <c r="F44" s="10" t="inlineStr">
        <is>
          <t>Default</t>
        </is>
      </c>
      <c r="G44" s="10" t="inlineStr">
        <is>
          <t>GCP &gt; Serverless &gt; Cloud Scheduler &gt; Other</t>
        </is>
      </c>
      <c r="H44" s="10" t="inlineStr">
        <is>
          <t>count</t>
        </is>
      </c>
      <c r="I44" s="11" t="n">
        <v>31</v>
      </c>
      <c r="J44" s="11" t="n">
        <v>93</v>
      </c>
      <c r="K44" s="12" t="n">
        <v>9.455</v>
      </c>
      <c r="L44" s="10" t="inlineStr">
        <is>
          <t>Other</t>
        </is>
      </c>
      <c r="M44" s="12" t="n">
        <v>9.455</v>
      </c>
      <c r="N44" s="10" t="inlineStr">
        <is>
          <t>per 31 count</t>
        </is>
      </c>
    </row>
    <row r="45">
      <c r="A45" s="10" t="inlineStr">
        <is>
          <t>GCP</t>
        </is>
      </c>
      <c r="B45" s="10" t="inlineStr">
        <is>
          <t>Cloud Tasks</t>
        </is>
      </c>
      <c r="C45" s="10" t="inlineStr">
        <is>
          <t>F3A6-D7B7-9BDA</t>
        </is>
      </c>
      <c r="D45" s="10" t="inlineStr">
        <is>
          <t>FE08-0A74-7AFD</t>
        </is>
      </c>
      <c r="E45" s="10" t="inlineStr">
        <is>
          <t>Cloud Tasks GOOGLE-API Data Transfer Out</t>
        </is>
      </c>
      <c r="F45" s="10" t="inlineStr">
        <is>
          <t>Default</t>
        </is>
      </c>
      <c r="G45" s="10" t="inlineStr">
        <is>
          <t>GCP &gt; Network &gt; Cloud Tasks &gt; Other</t>
        </is>
      </c>
      <c r="H45" s="10" t="inlineStr">
        <is>
          <t>gibibyte</t>
        </is>
      </c>
      <c r="I45" s="11" t="n">
        <v>1</v>
      </c>
      <c r="J45" s="11" t="n">
        <v>0</v>
      </c>
      <c r="K45" s="12" t="n">
        <v>0</v>
      </c>
      <c r="L45" s="10" t="inlineStr">
        <is>
          <t>Network / egress</t>
        </is>
      </c>
      <c r="M45" s="12" t="n">
        <v>0</v>
      </c>
      <c r="N45" s="10" t="inlineStr">
        <is>
          <t>per gibibyte</t>
        </is>
      </c>
    </row>
    <row r="46">
      <c r="A46" s="10" t="inlineStr">
        <is>
          <t>GCP</t>
        </is>
      </c>
      <c r="B46" s="10" t="inlineStr">
        <is>
          <t>Cloud Tasks</t>
        </is>
      </c>
      <c r="C46" s="10" t="inlineStr">
        <is>
          <t>F3A6-D7B7-9BDA</t>
        </is>
      </c>
      <c r="D46" s="10" t="inlineStr">
        <is>
          <t>378A-D762-1F74</t>
        </is>
      </c>
      <c r="E46" s="10" t="inlineStr">
        <is>
          <t>Operations</t>
        </is>
      </c>
      <c r="F46" s="10" t="inlineStr">
        <is>
          <t>Default</t>
        </is>
      </c>
      <c r="G46" s="10" t="inlineStr">
        <is>
          <t>GCP &gt; Serverless &gt; Cloud Tasks &gt; Other</t>
        </is>
      </c>
      <c r="H46" s="10" t="inlineStr">
        <is>
          <t>count</t>
        </is>
      </c>
      <c r="I46" s="11" t="n">
        <v>1000000</v>
      </c>
      <c r="J46" s="11" t="n">
        <v>0</v>
      </c>
      <c r="K46" s="12" t="n">
        <v>0</v>
      </c>
      <c r="L46" s="10" t="inlineStr">
        <is>
          <t>Requests / operations</t>
        </is>
      </c>
      <c r="M46" s="12" t="n">
        <v>0</v>
      </c>
      <c r="N46" s="10" t="inlineStr">
        <is>
          <t>per 1,000,000 count</t>
        </is>
      </c>
    </row>
    <row r="47">
      <c r="A47" s="10" t="inlineStr">
        <is>
          <t>GCP</t>
        </is>
      </c>
      <c r="B47" s="10" t="inlineStr">
        <is>
          <t>Cloud Tasks</t>
        </is>
      </c>
      <c r="C47" s="10" t="inlineStr">
        <is>
          <t>F3A6-D7B7-9BDA</t>
        </is>
      </c>
      <c r="D47" s="10" t="inlineStr">
        <is>
          <t>378A-D762-1F74</t>
        </is>
      </c>
      <c r="E47" s="10" t="inlineStr">
        <is>
          <t>Operations</t>
        </is>
      </c>
      <c r="F47" s="10" t="inlineStr">
        <is>
          <t>Default</t>
        </is>
      </c>
      <c r="G47" s="10" t="inlineStr">
        <is>
          <t>GCP &gt; Serverless &gt; Cloud Tasks &gt; Other</t>
        </is>
      </c>
      <c r="H47" s="10" t="inlineStr">
        <is>
          <t>count</t>
        </is>
      </c>
      <c r="I47" s="11" t="n">
        <v>1000000</v>
      </c>
      <c r="J47" s="11" t="n">
        <v>1000000</v>
      </c>
      <c r="K47" s="12" t="n">
        <v>37.820000001</v>
      </c>
      <c r="L47" s="10" t="inlineStr">
        <is>
          <t>Requests / operations</t>
        </is>
      </c>
      <c r="M47" s="12" t="n">
        <v>37.820000001</v>
      </c>
      <c r="N47" s="10" t="inlineStr">
        <is>
          <t>per 1,000,000 count</t>
        </is>
      </c>
    </row>
    <row r="48">
      <c r="A48" s="10" t="inlineStr">
        <is>
          <t>GCP</t>
        </is>
      </c>
      <c r="B48" s="10" t="inlineStr">
        <is>
          <t>Cloud Domains</t>
        </is>
      </c>
      <c r="C48" s="10" t="inlineStr">
        <is>
          <t>8534-F08B-BEBD</t>
        </is>
      </c>
      <c r="D48" s="10" t="inlineStr">
        <is>
          <t>6A79-1457-3004</t>
        </is>
      </c>
      <c r="E48" s="10" t="inlineStr">
        <is>
          <t>Subscription for domain with TLD .com - yearly prepay</t>
        </is>
      </c>
      <c r="F48" s="10" t="inlineStr">
        <is>
          <t>Default</t>
        </is>
      </c>
      <c r="G48" s="10" t="inlineStr">
        <is>
          <t>GCP &gt; Other &gt; Cloud Domains &gt; Domain Registration</t>
        </is>
      </c>
      <c r="H48" s="10" t="inlineStr">
        <is>
          <t>year</t>
        </is>
      </c>
      <c r="I48" s="11" t="n">
        <v>1</v>
      </c>
      <c r="J48" s="11" t="n">
        <v>0</v>
      </c>
      <c r="K48" s="12" t="n">
        <v>1134.600000048</v>
      </c>
      <c r="L48" s="10" t="inlineStr">
        <is>
          <t>Fixed subscription</t>
        </is>
      </c>
      <c r="M48" s="12" t="n">
        <v>94.550000004</v>
      </c>
      <c r="N48" s="10" t="inlineStr">
        <is>
          <t>per month equivalent</t>
        </is>
      </c>
    </row>
    <row r="49">
      <c r="A49" s="10" t="inlineStr">
        <is>
          <t>GCP</t>
        </is>
      </c>
      <c r="B49" s="10" t="inlineStr">
        <is>
          <t>Cloud Logging</t>
        </is>
      </c>
      <c r="C49" s="10" t="inlineStr">
        <is>
          <t>5490-F7B7-8DF6</t>
        </is>
      </c>
      <c r="D49" s="10" t="inlineStr">
        <is>
          <t>143F-A1B0-E0BE</t>
        </is>
      </c>
      <c r="E49" s="10" t="inlineStr">
        <is>
          <t>Log Storage cost</t>
        </is>
      </c>
      <c r="F49" s="10" t="inlineStr">
        <is>
          <t>Default</t>
        </is>
      </c>
      <c r="G49" s="10" t="inlineStr">
        <is>
          <t>GCP &gt; Ops Tools &gt; Cloud Logging &gt; Logs</t>
        </is>
      </c>
      <c r="H49" s="10" t="inlineStr">
        <is>
          <t>gibibyte</t>
        </is>
      </c>
      <c r="I49" s="11" t="n">
        <v>1</v>
      </c>
      <c r="J49" s="11" t="n">
        <v>0</v>
      </c>
      <c r="K49" s="12" t="n">
        <v>0</v>
      </c>
      <c r="L49" s="10" t="inlineStr">
        <is>
          <t>Storage / retention</t>
        </is>
      </c>
      <c r="M49" s="12" t="n">
        <v>0</v>
      </c>
      <c r="N49" s="10" t="inlineStr">
        <is>
          <t>per gibibyte</t>
        </is>
      </c>
    </row>
    <row r="50">
      <c r="A50" s="10" t="inlineStr">
        <is>
          <t>GCP</t>
        </is>
      </c>
      <c r="B50" s="10" t="inlineStr">
        <is>
          <t>Cloud Logging</t>
        </is>
      </c>
      <c r="C50" s="10" t="inlineStr">
        <is>
          <t>5490-F7B7-8DF6</t>
        </is>
      </c>
      <c r="D50" s="10" t="inlineStr">
        <is>
          <t>143F-A1B0-E0BE</t>
        </is>
      </c>
      <c r="E50" s="10" t="inlineStr">
        <is>
          <t>Log Storage cost</t>
        </is>
      </c>
      <c r="F50" s="10" t="inlineStr">
        <is>
          <t>Default</t>
        </is>
      </c>
      <c r="G50" s="10" t="inlineStr">
        <is>
          <t>GCP &gt; Ops Tools &gt; Cloud Logging &gt; Logs</t>
        </is>
      </c>
      <c r="H50" s="10" t="inlineStr">
        <is>
          <t>gibibyte</t>
        </is>
      </c>
      <c r="I50" s="11" t="n">
        <v>1</v>
      </c>
      <c r="J50" s="11" t="n">
        <v>50</v>
      </c>
      <c r="K50" s="12" t="n">
        <v>47.275000002</v>
      </c>
      <c r="L50" s="10" t="inlineStr">
        <is>
          <t>Storage / retention</t>
        </is>
      </c>
      <c r="M50" s="12" t="n">
        <v>47.275000002</v>
      </c>
      <c r="N50" s="10" t="inlineStr">
        <is>
          <t>per gibibyte</t>
        </is>
      </c>
    </row>
    <row r="51">
      <c r="A51" s="10" t="inlineStr">
        <is>
          <t>GCP</t>
        </is>
      </c>
      <c r="B51" s="10" t="inlineStr">
        <is>
          <t>Cloud Pub/Sub</t>
        </is>
      </c>
      <c r="C51" s="10" t="inlineStr">
        <is>
          <t>A1E8-BE35-7EBC</t>
        </is>
      </c>
      <c r="D51" s="10" t="inlineStr">
        <is>
          <t>027D-B6C7-CCA2</t>
        </is>
      </c>
      <c r="E51" s="10" t="inlineStr">
        <is>
          <t>Message Delivery Basic</t>
        </is>
      </c>
      <c r="F51" s="10" t="inlineStr">
        <is>
          <t>Default</t>
        </is>
      </c>
      <c r="G51" s="10" t="inlineStr">
        <is>
          <t>GCP &gt; Analytics &gt; Pub/Sub &gt; Message</t>
        </is>
      </c>
      <c r="H51" s="10" t="inlineStr">
        <is>
          <t>tebibyte</t>
        </is>
      </c>
      <c r="I51" s="11" t="n">
        <v>1</v>
      </c>
      <c r="J51" s="11" t="n">
        <v>0</v>
      </c>
      <c r="K51" s="12" t="n">
        <v>0</v>
      </c>
      <c r="L51" s="10" t="inlineStr">
        <is>
          <t>Requests / operations</t>
        </is>
      </c>
      <c r="M51" s="12" t="n">
        <v>0</v>
      </c>
      <c r="N51" s="10" t="inlineStr">
        <is>
          <t>per GiB</t>
        </is>
      </c>
    </row>
    <row r="52">
      <c r="A52" s="10" t="inlineStr">
        <is>
          <t>GCP</t>
        </is>
      </c>
      <c r="B52" s="10" t="inlineStr">
        <is>
          <t>Cloud Pub/Sub</t>
        </is>
      </c>
      <c r="C52" s="10" t="inlineStr">
        <is>
          <t>A1E8-BE35-7EBC</t>
        </is>
      </c>
      <c r="D52" s="10" t="inlineStr">
        <is>
          <t>027D-B6C7-CCA2</t>
        </is>
      </c>
      <c r="E52" s="10" t="inlineStr">
        <is>
          <t>Message Delivery Basic</t>
        </is>
      </c>
      <c r="F52" s="10" t="inlineStr">
        <is>
          <t>Default</t>
        </is>
      </c>
      <c r="G52" s="10" t="inlineStr">
        <is>
          <t>GCP &gt; Analytics &gt; Pub/Sub &gt; Message</t>
        </is>
      </c>
      <c r="H52" s="10" t="inlineStr">
        <is>
          <t>tebibyte</t>
        </is>
      </c>
      <c r="I52" s="11" t="n">
        <v>1</v>
      </c>
      <c r="J52" s="11" t="n">
        <v>0.009765625</v>
      </c>
      <c r="K52" s="12" t="n">
        <v>3782.000000161</v>
      </c>
      <c r="L52" s="10" t="inlineStr">
        <is>
          <t>Requests / operations</t>
        </is>
      </c>
      <c r="M52" s="12" t="n">
        <v>3.693359375157227</v>
      </c>
      <c r="N52" s="10" t="inlineStr">
        <is>
          <t>per GiB</t>
        </is>
      </c>
    </row>
    <row r="53">
      <c r="A53" s="10" t="inlineStr">
        <is>
          <t>GCP</t>
        </is>
      </c>
      <c r="B53" s="10" t="inlineStr">
        <is>
          <t>Cloud Run</t>
        </is>
      </c>
      <c r="C53" s="10" t="inlineStr">
        <is>
          <t>152E-C115-5142</t>
        </is>
      </c>
      <c r="D53" s="10" t="inlineStr">
        <is>
          <t>4856-B847-F1EB</t>
        </is>
      </c>
      <c r="E53" s="10" t="inlineStr">
        <is>
          <t>Services CPU (Request-based billing)</t>
        </is>
      </c>
      <c r="F53" s="10" t="inlineStr">
        <is>
          <t>Compute Flexible CUD - 3 Year</t>
        </is>
      </c>
      <c r="G53" s="10" t="inlineStr">
        <is>
          <t>GCP &gt; Serverless &gt; Cloud Run &gt; Other</t>
        </is>
      </c>
      <c r="H53" s="10" t="inlineStr">
        <is>
          <t>second</t>
        </is>
      </c>
      <c r="I53" s="11" t="n">
        <v>1</v>
      </c>
      <c r="J53" s="11" t="n">
        <v>0</v>
      </c>
      <c r="K53" s="12" t="n">
        <v>0.001883436</v>
      </c>
      <c r="L53" s="10" t="inlineStr">
        <is>
          <t>Compute time</t>
        </is>
      </c>
      <c r="M53" s="12" t="n">
        <v>6.7803696</v>
      </c>
      <c r="N53" s="10" t="inlineStr">
        <is>
          <t>per hour</t>
        </is>
      </c>
    </row>
    <row r="54">
      <c r="A54" s="10" t="inlineStr">
        <is>
          <t>GCP</t>
        </is>
      </c>
      <c r="B54" s="10" t="inlineStr">
        <is>
          <t>Cloud Run</t>
        </is>
      </c>
      <c r="C54" s="10" t="inlineStr">
        <is>
          <t>152E-C115-5142</t>
        </is>
      </c>
      <c r="D54" s="10" t="inlineStr">
        <is>
          <t>4856-B847-F1EB</t>
        </is>
      </c>
      <c r="E54" s="10" t="inlineStr">
        <is>
          <t>Services CPU (Request-based billing)</t>
        </is>
      </c>
      <c r="F54" s="10" t="inlineStr">
        <is>
          <t>Default</t>
        </is>
      </c>
      <c r="G54" s="10" t="inlineStr">
        <is>
          <t>GCP &gt; Serverless &gt; Cloud Run &gt; Other</t>
        </is>
      </c>
      <c r="H54" s="10" t="inlineStr">
        <is>
          <t>second</t>
        </is>
      </c>
      <c r="I54" s="11" t="n">
        <v>1</v>
      </c>
      <c r="J54" s="11" t="n">
        <v>0</v>
      </c>
      <c r="K54" s="12" t="n">
        <v>0.0022692</v>
      </c>
      <c r="L54" s="10" t="inlineStr">
        <is>
          <t>Compute time</t>
        </is>
      </c>
      <c r="M54" s="12" t="n">
        <v>8.169119999999999</v>
      </c>
      <c r="N54" s="10" t="inlineStr">
        <is>
          <t>per hour</t>
        </is>
      </c>
    </row>
    <row r="55">
      <c r="A55" s="10" t="inlineStr">
        <is>
          <t>GCP</t>
        </is>
      </c>
      <c r="B55" s="10" t="inlineStr">
        <is>
          <t>Cloud Run</t>
        </is>
      </c>
      <c r="C55" s="10" t="inlineStr">
        <is>
          <t>152E-C115-5142</t>
        </is>
      </c>
      <c r="D55" s="10" t="inlineStr">
        <is>
          <t>4856-B847-F1EB</t>
        </is>
      </c>
      <c r="E55" s="10" t="inlineStr">
        <is>
          <t>Services CPU (Request-based billing)</t>
        </is>
      </c>
      <c r="F55" s="10" t="inlineStr">
        <is>
          <t>Cloud Run CUD - 3 Year</t>
        </is>
      </c>
      <c r="G55" s="10" t="inlineStr">
        <is>
          <t>GCP &gt; Serverless &gt; Cloud Run &gt; Other</t>
        </is>
      </c>
      <c r="H55" s="10" t="inlineStr">
        <is>
          <t>second</t>
        </is>
      </c>
      <c r="I55" s="11" t="n">
        <v>1</v>
      </c>
      <c r="J55" s="11" t="n">
        <v>0</v>
      </c>
      <c r="K55" s="12" t="n">
        <v>0.001883436</v>
      </c>
      <c r="L55" s="10" t="inlineStr">
        <is>
          <t>Compute time</t>
        </is>
      </c>
      <c r="M55" s="12" t="n">
        <v>6.7803696</v>
      </c>
      <c r="N55" s="10" t="inlineStr">
        <is>
          <t>per hour</t>
        </is>
      </c>
    </row>
    <row r="56">
      <c r="A56" s="10" t="inlineStr">
        <is>
          <t>GCP</t>
        </is>
      </c>
      <c r="B56" s="10" t="inlineStr">
        <is>
          <t>Cloud Run</t>
        </is>
      </c>
      <c r="C56" s="10" t="inlineStr">
        <is>
          <t>152E-C115-5142</t>
        </is>
      </c>
      <c r="D56" s="10" t="inlineStr">
        <is>
          <t>4856-B847-F1EB</t>
        </is>
      </c>
      <c r="E56" s="10" t="inlineStr">
        <is>
          <t>Services CPU (Request-based billing)</t>
        </is>
      </c>
      <c r="F56" s="10" t="inlineStr">
        <is>
          <t>Cloud Run CUD - 1 Year</t>
        </is>
      </c>
      <c r="G56" s="10" t="inlineStr">
        <is>
          <t>GCP &gt; Serverless &gt; Cloud Run &gt; Other</t>
        </is>
      </c>
      <c r="H56" s="10" t="inlineStr">
        <is>
          <t>second</t>
        </is>
      </c>
      <c r="I56" s="11" t="n">
        <v>1</v>
      </c>
      <c r="J56" s="11" t="n">
        <v>0</v>
      </c>
      <c r="K56" s="12" t="n">
        <v>0.001883436</v>
      </c>
      <c r="L56" s="10" t="inlineStr">
        <is>
          <t>Compute time</t>
        </is>
      </c>
      <c r="M56" s="12" t="n">
        <v>6.7803696</v>
      </c>
      <c r="N56" s="10" t="inlineStr">
        <is>
          <t>per hour</t>
        </is>
      </c>
    </row>
    <row r="57">
      <c r="A57" s="10" t="inlineStr">
        <is>
          <t>GCP</t>
        </is>
      </c>
      <c r="B57" s="10" t="inlineStr">
        <is>
          <t>Cloud Run</t>
        </is>
      </c>
      <c r="C57" s="10" t="inlineStr">
        <is>
          <t>152E-C115-5142</t>
        </is>
      </c>
      <c r="D57" s="10" t="inlineStr">
        <is>
          <t>4856-B847-F1EB</t>
        </is>
      </c>
      <c r="E57" s="10" t="inlineStr">
        <is>
          <t>Services CPU (Request-based billing)</t>
        </is>
      </c>
      <c r="F57" s="10" t="inlineStr">
        <is>
          <t>Compute Flexible CUD - 1 Year</t>
        </is>
      </c>
      <c r="G57" s="10" t="inlineStr">
        <is>
          <t>GCP &gt; Serverless &gt; Cloud Run &gt; Other</t>
        </is>
      </c>
      <c r="H57" s="10" t="inlineStr">
        <is>
          <t>second</t>
        </is>
      </c>
      <c r="I57" s="11" t="n">
        <v>1</v>
      </c>
      <c r="J57" s="11" t="n">
        <v>0</v>
      </c>
      <c r="K57" s="12" t="n">
        <v>0.001883436</v>
      </c>
      <c r="L57" s="10" t="inlineStr">
        <is>
          <t>Compute time</t>
        </is>
      </c>
      <c r="M57" s="12" t="n">
        <v>6.7803696</v>
      </c>
      <c r="N57" s="10" t="inlineStr">
        <is>
          <t>per hour</t>
        </is>
      </c>
    </row>
    <row r="58">
      <c r="A58" s="10" t="inlineStr">
        <is>
          <t>GCP</t>
        </is>
      </c>
      <c r="B58" s="10" t="inlineStr">
        <is>
          <t>Cloud Run</t>
        </is>
      </c>
      <c r="C58" s="10" t="inlineStr">
        <is>
          <t>152E-C115-5142</t>
        </is>
      </c>
      <c r="D58" s="10" t="inlineStr">
        <is>
          <t>257B-2A84-3396</t>
        </is>
      </c>
      <c r="E58" s="10" t="inlineStr">
        <is>
          <t>Jobs CPU in us-central1</t>
        </is>
      </c>
      <c r="F58" s="10" t="inlineStr">
        <is>
          <t>Compute Flexible CUD - 3 Year</t>
        </is>
      </c>
      <c r="G58" s="10" t="inlineStr">
        <is>
          <t>GCP &gt; Serverless &gt; Cloud Run</t>
        </is>
      </c>
      <c r="H58" s="10" t="inlineStr">
        <is>
          <t>second</t>
        </is>
      </c>
      <c r="I58" s="11" t="n">
        <v>1</v>
      </c>
      <c r="J58" s="11" t="n">
        <v>0</v>
      </c>
      <c r="K58" s="12" t="n">
        <v>0.000919026</v>
      </c>
      <c r="L58" s="10" t="inlineStr">
        <is>
          <t>Compute time</t>
        </is>
      </c>
      <c r="M58" s="12" t="n">
        <v>3.3084936</v>
      </c>
      <c r="N58" s="10" t="inlineStr">
        <is>
          <t>per hour</t>
        </is>
      </c>
    </row>
    <row r="59">
      <c r="A59" s="10" t="inlineStr">
        <is>
          <t>GCP</t>
        </is>
      </c>
      <c r="B59" s="10" t="inlineStr">
        <is>
          <t>Cloud Run</t>
        </is>
      </c>
      <c r="C59" s="10" t="inlineStr">
        <is>
          <t>152E-C115-5142</t>
        </is>
      </c>
      <c r="D59" s="10" t="inlineStr">
        <is>
          <t>257B-2A84-3396</t>
        </is>
      </c>
      <c r="E59" s="10" t="inlineStr">
        <is>
          <t>Jobs CPU in us-central1</t>
        </is>
      </c>
      <c r="F59" s="10" t="inlineStr">
        <is>
          <t>Default</t>
        </is>
      </c>
      <c r="G59" s="10" t="inlineStr">
        <is>
          <t>GCP &gt; Serverless &gt; Cloud Run</t>
        </is>
      </c>
      <c r="H59" s="10" t="inlineStr">
        <is>
          <t>second</t>
        </is>
      </c>
      <c r="I59" s="11" t="n">
        <v>1</v>
      </c>
      <c r="J59" s="11" t="n">
        <v>0</v>
      </c>
      <c r="K59" s="12" t="n">
        <v>0.0017019</v>
      </c>
      <c r="L59" s="10" t="inlineStr">
        <is>
          <t>Compute time</t>
        </is>
      </c>
      <c r="M59" s="12" t="n">
        <v>6.12684</v>
      </c>
      <c r="N59" s="10" t="inlineStr">
        <is>
          <t>per hour</t>
        </is>
      </c>
    </row>
    <row r="60">
      <c r="A60" s="10" t="inlineStr">
        <is>
          <t>GCP</t>
        </is>
      </c>
      <c r="B60" s="10" t="inlineStr">
        <is>
          <t>Cloud Run</t>
        </is>
      </c>
      <c r="C60" s="10" t="inlineStr">
        <is>
          <t>152E-C115-5142</t>
        </is>
      </c>
      <c r="D60" s="10" t="inlineStr">
        <is>
          <t>257B-2A84-3396</t>
        </is>
      </c>
      <c r="E60" s="10" t="inlineStr">
        <is>
          <t>Jobs CPU in us-central1</t>
        </is>
      </c>
      <c r="F60" s="10" t="inlineStr">
        <is>
          <t>Cloud Run CUD - 3 Year</t>
        </is>
      </c>
      <c r="G60" s="10" t="inlineStr">
        <is>
          <t>GCP &gt; Serverless &gt; Cloud Run</t>
        </is>
      </c>
      <c r="H60" s="10" t="inlineStr">
        <is>
          <t>second</t>
        </is>
      </c>
      <c r="I60" s="11" t="n">
        <v>1</v>
      </c>
      <c r="J60" s="11" t="n">
        <v>0</v>
      </c>
      <c r="K60" s="12" t="n">
        <v>0.001412577</v>
      </c>
      <c r="L60" s="10" t="inlineStr">
        <is>
          <t>Compute time</t>
        </is>
      </c>
      <c r="M60" s="12" t="n">
        <v>5.0852772</v>
      </c>
      <c r="N60" s="10" t="inlineStr">
        <is>
          <t>per hour</t>
        </is>
      </c>
    </row>
    <row r="61">
      <c r="A61" s="10" t="inlineStr">
        <is>
          <t>GCP</t>
        </is>
      </c>
      <c r="B61" s="10" t="inlineStr">
        <is>
          <t>Cloud Run</t>
        </is>
      </c>
      <c r="C61" s="10" t="inlineStr">
        <is>
          <t>152E-C115-5142</t>
        </is>
      </c>
      <c r="D61" s="10" t="inlineStr">
        <is>
          <t>257B-2A84-3396</t>
        </is>
      </c>
      <c r="E61" s="10" t="inlineStr">
        <is>
          <t>Jobs CPU in us-central1</t>
        </is>
      </c>
      <c r="F61" s="10" t="inlineStr">
        <is>
          <t>Cloud Run CUD - 1 Year</t>
        </is>
      </c>
      <c r="G61" s="10" t="inlineStr">
        <is>
          <t>GCP &gt; Serverless &gt; Cloud Run</t>
        </is>
      </c>
      <c r="H61" s="10" t="inlineStr">
        <is>
          <t>second</t>
        </is>
      </c>
      <c r="I61" s="11" t="n">
        <v>1</v>
      </c>
      <c r="J61" s="11" t="n">
        <v>0</v>
      </c>
      <c r="K61" s="12" t="n">
        <v>0.001412577</v>
      </c>
      <c r="L61" s="10" t="inlineStr">
        <is>
          <t>Compute time</t>
        </is>
      </c>
      <c r="M61" s="12" t="n">
        <v>5.0852772</v>
      </c>
      <c r="N61" s="10" t="inlineStr">
        <is>
          <t>per hour</t>
        </is>
      </c>
    </row>
    <row r="62">
      <c r="A62" s="10" t="inlineStr">
        <is>
          <t>GCP</t>
        </is>
      </c>
      <c r="B62" s="10" t="inlineStr">
        <is>
          <t>Cloud Run</t>
        </is>
      </c>
      <c r="C62" s="10" t="inlineStr">
        <is>
          <t>152E-C115-5142</t>
        </is>
      </c>
      <c r="D62" s="10" t="inlineStr">
        <is>
          <t>257B-2A84-3396</t>
        </is>
      </c>
      <c r="E62" s="10" t="inlineStr">
        <is>
          <t>Jobs CPU in us-central1</t>
        </is>
      </c>
      <c r="F62" s="10" t="inlineStr">
        <is>
          <t>Compute Flexible CUD - 1 Year</t>
        </is>
      </c>
      <c r="G62" s="10" t="inlineStr">
        <is>
          <t>GCP &gt; Serverless &gt; Cloud Run</t>
        </is>
      </c>
      <c r="H62" s="10" t="inlineStr">
        <is>
          <t>second</t>
        </is>
      </c>
      <c r="I62" s="11" t="n">
        <v>1</v>
      </c>
      <c r="J62" s="11" t="n">
        <v>0</v>
      </c>
      <c r="K62" s="12" t="n">
        <v>0.001225368</v>
      </c>
      <c r="L62" s="10" t="inlineStr">
        <is>
          <t>Compute time</t>
        </is>
      </c>
      <c r="M62" s="12" t="n">
        <v>4.4113248</v>
      </c>
      <c r="N62" s="10" t="inlineStr">
        <is>
          <t>per hour</t>
        </is>
      </c>
    </row>
    <row r="63">
      <c r="A63" s="10" t="inlineStr">
        <is>
          <t>GCP</t>
        </is>
      </c>
      <c r="B63" s="10" t="inlineStr">
        <is>
          <t>Cloud Run</t>
        </is>
      </c>
      <c r="C63" s="10" t="inlineStr">
        <is>
          <t>152E-C115-5142</t>
        </is>
      </c>
      <c r="D63" s="10" t="inlineStr">
        <is>
          <t>02A2-9231-36A6</t>
        </is>
      </c>
      <c r="E63" s="10" t="inlineStr">
        <is>
          <t>Services Memory (Request-based billing)</t>
        </is>
      </c>
      <c r="F63" s="10" t="inlineStr">
        <is>
          <t>Compute Flexible CUD - 3 Year</t>
        </is>
      </c>
      <c r="G63" s="10" t="inlineStr">
        <is>
          <t>GCP &gt; Serverless &gt; Cloud Run &gt; Other</t>
        </is>
      </c>
      <c r="H63" s="10" t="inlineStr">
        <is>
          <t>gibibyte second</t>
        </is>
      </c>
      <c r="I63" s="11" t="n">
        <v>1</v>
      </c>
      <c r="J63" s="11" t="n">
        <v>0</v>
      </c>
      <c r="K63" s="12" t="n">
        <v>0.000196191</v>
      </c>
      <c r="L63" s="10" t="inlineStr">
        <is>
          <t>Compute time</t>
        </is>
      </c>
      <c r="M63" s="12" t="n">
        <v>0.7062876</v>
      </c>
      <c r="N63" s="10" t="inlineStr">
        <is>
          <t>per GiB-hour</t>
        </is>
      </c>
    </row>
    <row r="64">
      <c r="A64" s="10" t="inlineStr">
        <is>
          <t>GCP</t>
        </is>
      </c>
      <c r="B64" s="10" t="inlineStr">
        <is>
          <t>Cloud Run</t>
        </is>
      </c>
      <c r="C64" s="10" t="inlineStr">
        <is>
          <t>152E-C115-5142</t>
        </is>
      </c>
      <c r="D64" s="10" t="inlineStr">
        <is>
          <t>02A2-9231-36A6</t>
        </is>
      </c>
      <c r="E64" s="10" t="inlineStr">
        <is>
          <t>Services Memory (Request-based billing)</t>
        </is>
      </c>
      <c r="F64" s="10" t="inlineStr">
        <is>
          <t>Default</t>
        </is>
      </c>
      <c r="G64" s="10" t="inlineStr">
        <is>
          <t>GCP &gt; Serverless &gt; Cloud Run &gt; Other</t>
        </is>
      </c>
      <c r="H64" s="10" t="inlineStr">
        <is>
          <t>gibibyte second</t>
        </is>
      </c>
      <c r="I64" s="11" t="n">
        <v>1</v>
      </c>
      <c r="J64" s="11" t="n">
        <v>0</v>
      </c>
      <c r="K64" s="12" t="n">
        <v>0.000236375</v>
      </c>
      <c r="L64" s="10" t="inlineStr">
        <is>
          <t>Compute time</t>
        </is>
      </c>
      <c r="M64" s="12" t="n">
        <v>0.85095</v>
      </c>
      <c r="N64" s="10" t="inlineStr">
        <is>
          <t>per GiB-hour</t>
        </is>
      </c>
    </row>
    <row r="65">
      <c r="A65" s="10" t="inlineStr">
        <is>
          <t>GCP</t>
        </is>
      </c>
      <c r="B65" s="10" t="inlineStr">
        <is>
          <t>Cloud Run</t>
        </is>
      </c>
      <c r="C65" s="10" t="inlineStr">
        <is>
          <t>152E-C115-5142</t>
        </is>
      </c>
      <c r="D65" s="10" t="inlineStr">
        <is>
          <t>02A2-9231-36A6</t>
        </is>
      </c>
      <c r="E65" s="10" t="inlineStr">
        <is>
          <t>Services Memory (Request-based billing)</t>
        </is>
      </c>
      <c r="F65" s="10" t="inlineStr">
        <is>
          <t>Cloud Run CUD - 3 Year</t>
        </is>
      </c>
      <c r="G65" s="10" t="inlineStr">
        <is>
          <t>GCP &gt; Serverless &gt; Cloud Run &gt; Other</t>
        </is>
      </c>
      <c r="H65" s="10" t="inlineStr">
        <is>
          <t>gibibyte second</t>
        </is>
      </c>
      <c r="I65" s="11" t="n">
        <v>1</v>
      </c>
      <c r="J65" s="11" t="n">
        <v>0</v>
      </c>
      <c r="K65" s="12" t="n">
        <v>0.000196191</v>
      </c>
      <c r="L65" s="10" t="inlineStr">
        <is>
          <t>Compute time</t>
        </is>
      </c>
      <c r="M65" s="12" t="n">
        <v>0.7062876</v>
      </c>
      <c r="N65" s="10" t="inlineStr">
        <is>
          <t>per GiB-hour</t>
        </is>
      </c>
    </row>
    <row r="66">
      <c r="A66" s="10" t="inlineStr">
        <is>
          <t>GCP</t>
        </is>
      </c>
      <c r="B66" s="10" t="inlineStr">
        <is>
          <t>Cloud Run</t>
        </is>
      </c>
      <c r="C66" s="10" t="inlineStr">
        <is>
          <t>152E-C115-5142</t>
        </is>
      </c>
      <c r="D66" s="10" t="inlineStr">
        <is>
          <t>02A2-9231-36A6</t>
        </is>
      </c>
      <c r="E66" s="10" t="inlineStr">
        <is>
          <t>Services Memory (Request-based billing)</t>
        </is>
      </c>
      <c r="F66" s="10" t="inlineStr">
        <is>
          <t>Cloud Run CUD - 1 Year</t>
        </is>
      </c>
      <c r="G66" s="10" t="inlineStr">
        <is>
          <t>GCP &gt; Serverless &gt; Cloud Run &gt; Other</t>
        </is>
      </c>
      <c r="H66" s="10" t="inlineStr">
        <is>
          <t>gibibyte second</t>
        </is>
      </c>
      <c r="I66" s="11" t="n">
        <v>1</v>
      </c>
      <c r="J66" s="11" t="n">
        <v>0</v>
      </c>
      <c r="K66" s="12" t="n">
        <v>0.000196191</v>
      </c>
      <c r="L66" s="10" t="inlineStr">
        <is>
          <t>Compute time</t>
        </is>
      </c>
      <c r="M66" s="12" t="n">
        <v>0.7062876</v>
      </c>
      <c r="N66" s="10" t="inlineStr">
        <is>
          <t>per GiB-hour</t>
        </is>
      </c>
    </row>
    <row r="67">
      <c r="A67" s="10" t="inlineStr">
        <is>
          <t>GCP</t>
        </is>
      </c>
      <c r="B67" s="10" t="inlineStr">
        <is>
          <t>Cloud Run</t>
        </is>
      </c>
      <c r="C67" s="10" t="inlineStr">
        <is>
          <t>152E-C115-5142</t>
        </is>
      </c>
      <c r="D67" s="10" t="inlineStr">
        <is>
          <t>02A2-9231-36A6</t>
        </is>
      </c>
      <c r="E67" s="10" t="inlineStr">
        <is>
          <t>Services Memory (Request-based billing)</t>
        </is>
      </c>
      <c r="F67" s="10" t="inlineStr">
        <is>
          <t>Compute Flexible CUD - 1 Year</t>
        </is>
      </c>
      <c r="G67" s="10" t="inlineStr">
        <is>
          <t>GCP &gt; Serverless &gt; Cloud Run &gt; Other</t>
        </is>
      </c>
      <c r="H67" s="10" t="inlineStr">
        <is>
          <t>gibibyte second</t>
        </is>
      </c>
      <c r="I67" s="11" t="n">
        <v>1</v>
      </c>
      <c r="J67" s="11" t="n">
        <v>0</v>
      </c>
      <c r="K67" s="12" t="n">
        <v>0.000196191</v>
      </c>
      <c r="L67" s="10" t="inlineStr">
        <is>
          <t>Compute time</t>
        </is>
      </c>
      <c r="M67" s="12" t="n">
        <v>0.7062876</v>
      </c>
      <c r="N67" s="10" t="inlineStr">
        <is>
          <t>per GiB-hour</t>
        </is>
      </c>
    </row>
    <row r="68">
      <c r="A68" s="10" t="inlineStr">
        <is>
          <t>GCP</t>
        </is>
      </c>
      <c r="B68" s="10" t="inlineStr">
        <is>
          <t>Cloud Run</t>
        </is>
      </c>
      <c r="C68" s="10" t="inlineStr">
        <is>
          <t>152E-C115-5142</t>
        </is>
      </c>
      <c r="D68" s="10" t="inlineStr">
        <is>
          <t>8A79-9F45-5F32</t>
        </is>
      </c>
      <c r="E68" s="10" t="inlineStr">
        <is>
          <t>Jobs Memory in us-central1</t>
        </is>
      </c>
      <c r="F68" s="10" t="inlineStr">
        <is>
          <t>Compute Flexible CUD - 3 Year</t>
        </is>
      </c>
      <c r="G68" s="10" t="inlineStr">
        <is>
          <t>GCP &gt; Serverless &gt; Cloud Run</t>
        </is>
      </c>
      <c r="H68" s="10" t="inlineStr">
        <is>
          <t>gibibyte second</t>
        </is>
      </c>
      <c r="I68" s="11" t="n">
        <v>1</v>
      </c>
      <c r="J68" s="11" t="n">
        <v>0</v>
      </c>
      <c r="K68" s="12" t="n">
        <v>0.000102114</v>
      </c>
      <c r="L68" s="10" t="inlineStr">
        <is>
          <t>Compute time</t>
        </is>
      </c>
      <c r="M68" s="12" t="n">
        <v>0.3676104</v>
      </c>
      <c r="N68" s="10" t="inlineStr">
        <is>
          <t>per GiB-hour</t>
        </is>
      </c>
    </row>
    <row r="69">
      <c r="A69" s="10" t="inlineStr">
        <is>
          <t>GCP</t>
        </is>
      </c>
      <c r="B69" s="10" t="inlineStr">
        <is>
          <t>Cloud Run</t>
        </is>
      </c>
      <c r="C69" s="10" t="inlineStr">
        <is>
          <t>152E-C115-5142</t>
        </is>
      </c>
      <c r="D69" s="10" t="inlineStr">
        <is>
          <t>8A79-9F45-5F32</t>
        </is>
      </c>
      <c r="E69" s="10" t="inlineStr">
        <is>
          <t>Jobs Memory in us-central1</t>
        </is>
      </c>
      <c r="F69" s="10" t="inlineStr">
        <is>
          <t>Default</t>
        </is>
      </c>
      <c r="G69" s="10" t="inlineStr">
        <is>
          <t>GCP &gt; Serverless &gt; Cloud Run</t>
        </is>
      </c>
      <c r="H69" s="10" t="inlineStr">
        <is>
          <t>gibibyte second</t>
        </is>
      </c>
      <c r="I69" s="11" t="n">
        <v>1</v>
      </c>
      <c r="J69" s="11" t="n">
        <v>0</v>
      </c>
      <c r="K69" s="12" t="n">
        <v>0.0001891</v>
      </c>
      <c r="L69" s="10" t="inlineStr">
        <is>
          <t>Compute time</t>
        </is>
      </c>
      <c r="M69" s="12" t="n">
        <v>0.68076</v>
      </c>
      <c r="N69" s="10" t="inlineStr">
        <is>
          <t>per GiB-hour</t>
        </is>
      </c>
    </row>
    <row r="70">
      <c r="A70" s="10" t="inlineStr">
        <is>
          <t>GCP</t>
        </is>
      </c>
      <c r="B70" s="10" t="inlineStr">
        <is>
          <t>Cloud Run</t>
        </is>
      </c>
      <c r="C70" s="10" t="inlineStr">
        <is>
          <t>152E-C115-5142</t>
        </is>
      </c>
      <c r="D70" s="10" t="inlineStr">
        <is>
          <t>8A79-9F45-5F32</t>
        </is>
      </c>
      <c r="E70" s="10" t="inlineStr">
        <is>
          <t>Jobs Memory in us-central1</t>
        </is>
      </c>
      <c r="F70" s="10" t="inlineStr">
        <is>
          <t>Cloud Run CUD - 3 Year</t>
        </is>
      </c>
      <c r="G70" s="10" t="inlineStr">
        <is>
          <t>GCP &gt; Serverless &gt; Cloud Run</t>
        </is>
      </c>
      <c r="H70" s="10" t="inlineStr">
        <is>
          <t>gibibyte second</t>
        </is>
      </c>
      <c r="I70" s="11" t="n">
        <v>1</v>
      </c>
      <c r="J70" s="11" t="n">
        <v>0</v>
      </c>
      <c r="K70" s="12" t="n">
        <v>0.000156953</v>
      </c>
      <c r="L70" s="10" t="inlineStr">
        <is>
          <t>Compute time</t>
        </is>
      </c>
      <c r="M70" s="12" t="n">
        <v>0.5650308000000001</v>
      </c>
      <c r="N70" s="10" t="inlineStr">
        <is>
          <t>per GiB-hour</t>
        </is>
      </c>
    </row>
    <row r="71">
      <c r="A71" s="10" t="inlineStr">
        <is>
          <t>GCP</t>
        </is>
      </c>
      <c r="B71" s="10" t="inlineStr">
        <is>
          <t>Cloud Run</t>
        </is>
      </c>
      <c r="C71" s="10" t="inlineStr">
        <is>
          <t>152E-C115-5142</t>
        </is>
      </c>
      <c r="D71" s="10" t="inlineStr">
        <is>
          <t>8A79-9F45-5F32</t>
        </is>
      </c>
      <c r="E71" s="10" t="inlineStr">
        <is>
          <t>Jobs Memory in us-central1</t>
        </is>
      </c>
      <c r="F71" s="10" t="inlineStr">
        <is>
          <t>Cloud Run CUD - 1 Year</t>
        </is>
      </c>
      <c r="G71" s="10" t="inlineStr">
        <is>
          <t>GCP &gt; Serverless &gt; Cloud Run</t>
        </is>
      </c>
      <c r="H71" s="10" t="inlineStr">
        <is>
          <t>gibibyte second</t>
        </is>
      </c>
      <c r="I71" s="11" t="n">
        <v>1</v>
      </c>
      <c r="J71" s="11" t="n">
        <v>0</v>
      </c>
      <c r="K71" s="12" t="n">
        <v>0.000156953</v>
      </c>
      <c r="L71" s="10" t="inlineStr">
        <is>
          <t>Compute time</t>
        </is>
      </c>
      <c r="M71" s="12" t="n">
        <v>0.5650308000000001</v>
      </c>
      <c r="N71" s="10" t="inlineStr">
        <is>
          <t>per GiB-hour</t>
        </is>
      </c>
    </row>
    <row r="72">
      <c r="A72" s="10" t="inlineStr">
        <is>
          <t>GCP</t>
        </is>
      </c>
      <c r="B72" s="10" t="inlineStr">
        <is>
          <t>Cloud Run</t>
        </is>
      </c>
      <c r="C72" s="10" t="inlineStr">
        <is>
          <t>152E-C115-5142</t>
        </is>
      </c>
      <c r="D72" s="10" t="inlineStr">
        <is>
          <t>8A79-9F45-5F32</t>
        </is>
      </c>
      <c r="E72" s="10" t="inlineStr">
        <is>
          <t>Jobs Memory in us-central1</t>
        </is>
      </c>
      <c r="F72" s="10" t="inlineStr">
        <is>
          <t>Compute Flexible CUD - 1 Year</t>
        </is>
      </c>
      <c r="G72" s="10" t="inlineStr">
        <is>
          <t>GCP &gt; Serverless &gt; Cloud Run</t>
        </is>
      </c>
      <c r="H72" s="10" t="inlineStr">
        <is>
          <t>gibibyte second</t>
        </is>
      </c>
      <c r="I72" s="11" t="n">
        <v>1</v>
      </c>
      <c r="J72" s="11" t="n">
        <v>0</v>
      </c>
      <c r="K72" s="12" t="n">
        <v>0.000136152</v>
      </c>
      <c r="L72" s="10" t="inlineStr">
        <is>
          <t>Compute time</t>
        </is>
      </c>
      <c r="M72" s="12" t="n">
        <v>0.4901472</v>
      </c>
      <c r="N72" s="10" t="inlineStr">
        <is>
          <t>per GiB-hour</t>
        </is>
      </c>
    </row>
    <row r="73">
      <c r="A73" s="10" t="inlineStr">
        <is>
          <t>GCP</t>
        </is>
      </c>
      <c r="B73" s="10" t="inlineStr">
        <is>
          <t>Cloud Run</t>
        </is>
      </c>
      <c r="C73" s="10" t="inlineStr">
        <is>
          <t>152E-C115-5142</t>
        </is>
      </c>
      <c r="D73" s="10" t="inlineStr">
        <is>
          <t>7EBB-8579-2C98</t>
        </is>
      </c>
      <c r="E73" s="10" t="inlineStr">
        <is>
          <t>Services Min Instance CPU (Request-based billing)</t>
        </is>
      </c>
      <c r="F73" s="10" t="inlineStr">
        <is>
          <t>Compute Flexible CUD - 3 Year</t>
        </is>
      </c>
      <c r="G73" s="10" t="inlineStr">
        <is>
          <t>GCP &gt; Serverless &gt; Cloud Run &gt; Other</t>
        </is>
      </c>
      <c r="H73" s="10" t="inlineStr">
        <is>
          <t>second</t>
        </is>
      </c>
      <c r="I73" s="11" t="n">
        <v>1</v>
      </c>
      <c r="J73" s="11" t="n">
        <v>0</v>
      </c>
      <c r="K73" s="12" t="n">
        <v>0.000196191</v>
      </c>
      <c r="L73" s="10" t="inlineStr">
        <is>
          <t>Compute time</t>
        </is>
      </c>
      <c r="M73" s="12" t="n">
        <v>0.7062876</v>
      </c>
      <c r="N73" s="10" t="inlineStr">
        <is>
          <t>per hour</t>
        </is>
      </c>
    </row>
    <row r="74">
      <c r="A74" s="10" t="inlineStr">
        <is>
          <t>GCP</t>
        </is>
      </c>
      <c r="B74" s="10" t="inlineStr">
        <is>
          <t>Cloud Run</t>
        </is>
      </c>
      <c r="C74" s="10" t="inlineStr">
        <is>
          <t>152E-C115-5142</t>
        </is>
      </c>
      <c r="D74" s="10" t="inlineStr">
        <is>
          <t>7EBB-8579-2C98</t>
        </is>
      </c>
      <c r="E74" s="10" t="inlineStr">
        <is>
          <t>Services Min Instance CPU (Request-based billing)</t>
        </is>
      </c>
      <c r="F74" s="10" t="inlineStr">
        <is>
          <t>Default</t>
        </is>
      </c>
      <c r="G74" s="10" t="inlineStr">
        <is>
          <t>GCP &gt; Serverless &gt; Cloud Run &gt; Other</t>
        </is>
      </c>
      <c r="H74" s="10" t="inlineStr">
        <is>
          <t>second</t>
        </is>
      </c>
      <c r="I74" s="11" t="n">
        <v>1</v>
      </c>
      <c r="J74" s="11" t="n">
        <v>0</v>
      </c>
      <c r="K74" s="12" t="n">
        <v>0.000236375</v>
      </c>
      <c r="L74" s="10" t="inlineStr">
        <is>
          <t>Compute time</t>
        </is>
      </c>
      <c r="M74" s="12" t="n">
        <v>0.85095</v>
      </c>
      <c r="N74" s="10" t="inlineStr">
        <is>
          <t>per hour</t>
        </is>
      </c>
    </row>
    <row r="75">
      <c r="A75" s="10" t="inlineStr">
        <is>
          <t>GCP</t>
        </is>
      </c>
      <c r="B75" s="10" t="inlineStr">
        <is>
          <t>Cloud Run</t>
        </is>
      </c>
      <c r="C75" s="10" t="inlineStr">
        <is>
          <t>152E-C115-5142</t>
        </is>
      </c>
      <c r="D75" s="10" t="inlineStr">
        <is>
          <t>7EBB-8579-2C98</t>
        </is>
      </c>
      <c r="E75" s="10" t="inlineStr">
        <is>
          <t>Services Min Instance CPU (Request-based billing)</t>
        </is>
      </c>
      <c r="F75" s="10" t="inlineStr">
        <is>
          <t>Cloud Run CUD - 3 Year</t>
        </is>
      </c>
      <c r="G75" s="10" t="inlineStr">
        <is>
          <t>GCP &gt; Serverless &gt; Cloud Run &gt; Other</t>
        </is>
      </c>
      <c r="H75" s="10" t="inlineStr">
        <is>
          <t>second</t>
        </is>
      </c>
      <c r="I75" s="11" t="n">
        <v>1</v>
      </c>
      <c r="J75" s="11" t="n">
        <v>0</v>
      </c>
      <c r="K75" s="12" t="n">
        <v>0.000196191</v>
      </c>
      <c r="L75" s="10" t="inlineStr">
        <is>
          <t>Compute time</t>
        </is>
      </c>
      <c r="M75" s="12" t="n">
        <v>0.7062876</v>
      </c>
      <c r="N75" s="10" t="inlineStr">
        <is>
          <t>per hour</t>
        </is>
      </c>
    </row>
    <row r="76">
      <c r="A76" s="10" t="inlineStr">
        <is>
          <t>GCP</t>
        </is>
      </c>
      <c r="B76" s="10" t="inlineStr">
        <is>
          <t>Cloud Run</t>
        </is>
      </c>
      <c r="C76" s="10" t="inlineStr">
        <is>
          <t>152E-C115-5142</t>
        </is>
      </c>
      <c r="D76" s="10" t="inlineStr">
        <is>
          <t>7EBB-8579-2C98</t>
        </is>
      </c>
      <c r="E76" s="10" t="inlineStr">
        <is>
          <t>Services Min Instance CPU (Request-based billing)</t>
        </is>
      </c>
      <c r="F76" s="10" t="inlineStr">
        <is>
          <t>Cloud Run CUD - 1 Year</t>
        </is>
      </c>
      <c r="G76" s="10" t="inlineStr">
        <is>
          <t>GCP &gt; Serverless &gt; Cloud Run &gt; Other</t>
        </is>
      </c>
      <c r="H76" s="10" t="inlineStr">
        <is>
          <t>second</t>
        </is>
      </c>
      <c r="I76" s="11" t="n">
        <v>1</v>
      </c>
      <c r="J76" s="11" t="n">
        <v>0</v>
      </c>
      <c r="K76" s="12" t="n">
        <v>0.000196191</v>
      </c>
      <c r="L76" s="10" t="inlineStr">
        <is>
          <t>Compute time</t>
        </is>
      </c>
      <c r="M76" s="12" t="n">
        <v>0.7062876</v>
      </c>
      <c r="N76" s="10" t="inlineStr">
        <is>
          <t>per hour</t>
        </is>
      </c>
    </row>
    <row r="77">
      <c r="A77" s="10" t="inlineStr">
        <is>
          <t>GCP</t>
        </is>
      </c>
      <c r="B77" s="10" t="inlineStr">
        <is>
          <t>Cloud Run</t>
        </is>
      </c>
      <c r="C77" s="10" t="inlineStr">
        <is>
          <t>152E-C115-5142</t>
        </is>
      </c>
      <c r="D77" s="10" t="inlineStr">
        <is>
          <t>7EBB-8579-2C98</t>
        </is>
      </c>
      <c r="E77" s="10" t="inlineStr">
        <is>
          <t>Services Min Instance CPU (Request-based billing)</t>
        </is>
      </c>
      <c r="F77" s="10" t="inlineStr">
        <is>
          <t>Compute Flexible CUD - 1 Year</t>
        </is>
      </c>
      <c r="G77" s="10" t="inlineStr">
        <is>
          <t>GCP &gt; Serverless &gt; Cloud Run &gt; Other</t>
        </is>
      </c>
      <c r="H77" s="10" t="inlineStr">
        <is>
          <t>second</t>
        </is>
      </c>
      <c r="I77" s="11" t="n">
        <v>1</v>
      </c>
      <c r="J77" s="11" t="n">
        <v>0</v>
      </c>
      <c r="K77" s="12" t="n">
        <v>0.000196191</v>
      </c>
      <c r="L77" s="10" t="inlineStr">
        <is>
          <t>Compute time</t>
        </is>
      </c>
      <c r="M77" s="12" t="n">
        <v>0.7062876</v>
      </c>
      <c r="N77" s="10" t="inlineStr">
        <is>
          <t>per hour</t>
        </is>
      </c>
    </row>
    <row r="78">
      <c r="A78" s="10" t="inlineStr">
        <is>
          <t>GCP</t>
        </is>
      </c>
      <c r="B78" s="10" t="inlineStr">
        <is>
          <t>Cloud Run</t>
        </is>
      </c>
      <c r="C78" s="10" t="inlineStr">
        <is>
          <t>152E-C115-5142</t>
        </is>
      </c>
      <c r="D78" s="10" t="inlineStr">
        <is>
          <t>740D-08F2-7A11</t>
        </is>
      </c>
      <c r="E78" s="10" t="inlineStr">
        <is>
          <t>Services Min Instance Memory (Request-based billing)</t>
        </is>
      </c>
      <c r="F78" s="10" t="inlineStr">
        <is>
          <t>Compute Flexible CUD - 3 Year</t>
        </is>
      </c>
      <c r="G78" s="10" t="inlineStr">
        <is>
          <t>GCP &gt; Serverless &gt; Cloud Run &gt; Other</t>
        </is>
      </c>
      <c r="H78" s="10" t="inlineStr">
        <is>
          <t>gibibyte second</t>
        </is>
      </c>
      <c r="I78" s="11" t="n">
        <v>1</v>
      </c>
      <c r="J78" s="11" t="n">
        <v>0</v>
      </c>
      <c r="K78" s="12" t="n">
        <v>0.000196191</v>
      </c>
      <c r="L78" s="10" t="inlineStr">
        <is>
          <t>Compute time</t>
        </is>
      </c>
      <c r="M78" s="12" t="n">
        <v>0.7062876</v>
      </c>
      <c r="N78" s="10" t="inlineStr">
        <is>
          <t>per GiB-hour</t>
        </is>
      </c>
    </row>
    <row r="79">
      <c r="A79" s="10" t="inlineStr">
        <is>
          <t>GCP</t>
        </is>
      </c>
      <c r="B79" s="10" t="inlineStr">
        <is>
          <t>Cloud Run</t>
        </is>
      </c>
      <c r="C79" s="10" t="inlineStr">
        <is>
          <t>152E-C115-5142</t>
        </is>
      </c>
      <c r="D79" s="10" t="inlineStr">
        <is>
          <t>740D-08F2-7A11</t>
        </is>
      </c>
      <c r="E79" s="10" t="inlineStr">
        <is>
          <t>Services Min Instance Memory (Request-based billing)</t>
        </is>
      </c>
      <c r="F79" s="10" t="inlineStr">
        <is>
          <t>Default</t>
        </is>
      </c>
      <c r="G79" s="10" t="inlineStr">
        <is>
          <t>GCP &gt; Serverless &gt; Cloud Run &gt; Other</t>
        </is>
      </c>
      <c r="H79" s="10" t="inlineStr">
        <is>
          <t>gibibyte second</t>
        </is>
      </c>
      <c r="I79" s="11" t="n">
        <v>1</v>
      </c>
      <c r="J79" s="11" t="n">
        <v>0</v>
      </c>
      <c r="K79" s="12" t="n">
        <v>0.000236375</v>
      </c>
      <c r="L79" s="10" t="inlineStr">
        <is>
          <t>Compute time</t>
        </is>
      </c>
      <c r="M79" s="12" t="n">
        <v>0.85095</v>
      </c>
      <c r="N79" s="10" t="inlineStr">
        <is>
          <t>per GiB-hour</t>
        </is>
      </c>
    </row>
    <row r="80">
      <c r="A80" s="10" t="inlineStr">
        <is>
          <t>GCP</t>
        </is>
      </c>
      <c r="B80" s="10" t="inlineStr">
        <is>
          <t>Cloud Run</t>
        </is>
      </c>
      <c r="C80" s="10" t="inlineStr">
        <is>
          <t>152E-C115-5142</t>
        </is>
      </c>
      <c r="D80" s="10" t="inlineStr">
        <is>
          <t>740D-08F2-7A11</t>
        </is>
      </c>
      <c r="E80" s="10" t="inlineStr">
        <is>
          <t>Services Min Instance Memory (Request-based billing)</t>
        </is>
      </c>
      <c r="F80" s="10" t="inlineStr">
        <is>
          <t>Cloud Run CUD - 3 Year</t>
        </is>
      </c>
      <c r="G80" s="10" t="inlineStr">
        <is>
          <t>GCP &gt; Serverless &gt; Cloud Run &gt; Other</t>
        </is>
      </c>
      <c r="H80" s="10" t="inlineStr">
        <is>
          <t>gibibyte second</t>
        </is>
      </c>
      <c r="I80" s="11" t="n">
        <v>1</v>
      </c>
      <c r="J80" s="11" t="n">
        <v>0</v>
      </c>
      <c r="K80" s="12" t="n">
        <v>0.000196191</v>
      </c>
      <c r="L80" s="10" t="inlineStr">
        <is>
          <t>Compute time</t>
        </is>
      </c>
      <c r="M80" s="12" t="n">
        <v>0.7062876</v>
      </c>
      <c r="N80" s="10" t="inlineStr">
        <is>
          <t>per GiB-hour</t>
        </is>
      </c>
    </row>
    <row r="81">
      <c r="A81" s="10" t="inlineStr">
        <is>
          <t>GCP</t>
        </is>
      </c>
      <c r="B81" s="10" t="inlineStr">
        <is>
          <t>Cloud Run</t>
        </is>
      </c>
      <c r="C81" s="10" t="inlineStr">
        <is>
          <t>152E-C115-5142</t>
        </is>
      </c>
      <c r="D81" s="10" t="inlineStr">
        <is>
          <t>740D-08F2-7A11</t>
        </is>
      </c>
      <c r="E81" s="10" t="inlineStr">
        <is>
          <t>Services Min Instance Memory (Request-based billing)</t>
        </is>
      </c>
      <c r="F81" s="10" t="inlineStr">
        <is>
          <t>Cloud Run CUD - 1 Year</t>
        </is>
      </c>
      <c r="G81" s="10" t="inlineStr">
        <is>
          <t>GCP &gt; Serverless &gt; Cloud Run &gt; Other</t>
        </is>
      </c>
      <c r="H81" s="10" t="inlineStr">
        <is>
          <t>gibibyte second</t>
        </is>
      </c>
      <c r="I81" s="11" t="n">
        <v>1</v>
      </c>
      <c r="J81" s="11" t="n">
        <v>0</v>
      </c>
      <c r="K81" s="12" t="n">
        <v>0.000196191</v>
      </c>
      <c r="L81" s="10" t="inlineStr">
        <is>
          <t>Compute time</t>
        </is>
      </c>
      <c r="M81" s="12" t="n">
        <v>0.7062876</v>
      </c>
      <c r="N81" s="10" t="inlineStr">
        <is>
          <t>per GiB-hour</t>
        </is>
      </c>
    </row>
    <row r="82">
      <c r="A82" s="10" t="inlineStr">
        <is>
          <t>GCP</t>
        </is>
      </c>
      <c r="B82" s="10" t="inlineStr">
        <is>
          <t>Cloud Run</t>
        </is>
      </c>
      <c r="C82" s="10" t="inlineStr">
        <is>
          <t>152E-C115-5142</t>
        </is>
      </c>
      <c r="D82" s="10" t="inlineStr">
        <is>
          <t>740D-08F2-7A11</t>
        </is>
      </c>
      <c r="E82" s="10" t="inlineStr">
        <is>
          <t>Services Min Instance Memory (Request-based billing)</t>
        </is>
      </c>
      <c r="F82" s="10" t="inlineStr">
        <is>
          <t>Compute Flexible CUD - 1 Year</t>
        </is>
      </c>
      <c r="G82" s="10" t="inlineStr">
        <is>
          <t>GCP &gt; Serverless &gt; Cloud Run &gt; Other</t>
        </is>
      </c>
      <c r="H82" s="10" t="inlineStr">
        <is>
          <t>gibibyte second</t>
        </is>
      </c>
      <c r="I82" s="11" t="n">
        <v>1</v>
      </c>
      <c r="J82" s="11" t="n">
        <v>0</v>
      </c>
      <c r="K82" s="12" t="n">
        <v>0.000196191</v>
      </c>
      <c r="L82" s="10" t="inlineStr">
        <is>
          <t>Compute time</t>
        </is>
      </c>
      <c r="M82" s="12" t="n">
        <v>0.7062876</v>
      </c>
      <c r="N82" s="10" t="inlineStr">
        <is>
          <t>per GiB-hour</t>
        </is>
      </c>
    </row>
    <row r="83">
      <c r="A83" s="10" t="inlineStr">
        <is>
          <t>GCP</t>
        </is>
      </c>
      <c r="B83" s="10" t="inlineStr">
        <is>
          <t>Cloud Run</t>
        </is>
      </c>
      <c r="C83" s="10" t="inlineStr">
        <is>
          <t>152E-C115-5142</t>
        </is>
      </c>
      <c r="D83" s="10" t="inlineStr">
        <is>
          <t>0CCB-7057-48DE</t>
        </is>
      </c>
      <c r="E83" s="10" t="inlineStr">
        <is>
          <t>Cloud Run GOOGLE-API Data Transfer Out</t>
        </is>
      </c>
      <c r="F83" s="10" t="inlineStr">
        <is>
          <t>Default</t>
        </is>
      </c>
      <c r="G83" s="10" t="inlineStr">
        <is>
          <t>GCP &gt; Network &gt; Egress &gt; Cloud Run</t>
        </is>
      </c>
      <c r="H83" s="10" t="inlineStr">
        <is>
          <t>gibibyte</t>
        </is>
      </c>
      <c r="I83" s="11" t="n">
        <v>1</v>
      </c>
      <c r="J83" s="11" t="n">
        <v>0</v>
      </c>
      <c r="K83" s="12" t="n">
        <v>0</v>
      </c>
      <c r="L83" s="10" t="inlineStr">
        <is>
          <t>Network / egress</t>
        </is>
      </c>
      <c r="M83" s="12" t="n">
        <v>0</v>
      </c>
      <c r="N83" s="10" t="inlineStr">
        <is>
          <t>per gibibyte</t>
        </is>
      </c>
    </row>
    <row r="84">
      <c r="A84" s="10" t="inlineStr">
        <is>
          <t>GCP</t>
        </is>
      </c>
      <c r="B84" s="10" t="inlineStr">
        <is>
          <t>Cloud Run</t>
        </is>
      </c>
      <c r="C84" s="10" t="inlineStr">
        <is>
          <t>152E-C115-5142</t>
        </is>
      </c>
      <c r="D84" s="10" t="inlineStr">
        <is>
          <t>D63C-EDCA-4726</t>
        </is>
      </c>
      <c r="E84" s="10" t="inlineStr">
        <is>
          <t>Cloud Run Network Data Transfer Out via Carrier Peering Network - North America Based</t>
        </is>
      </c>
      <c r="F84" s="10" t="inlineStr">
        <is>
          <t>Default</t>
        </is>
      </c>
      <c r="G84" s="10" t="inlineStr">
        <is>
          <t>GCP &gt; Network &gt; Interconnect &gt; Carrier Interconnect &gt; Egress &gt; Cloud Run</t>
        </is>
      </c>
      <c r="H84" s="10" t="inlineStr">
        <is>
          <t>gibibyte</t>
        </is>
      </c>
      <c r="I84" s="11" t="n">
        <v>1</v>
      </c>
      <c r="J84" s="11" t="n">
        <v>0</v>
      </c>
      <c r="K84" s="12" t="n">
        <v>1.891</v>
      </c>
      <c r="L84" s="10" t="inlineStr">
        <is>
          <t>Network / egress</t>
        </is>
      </c>
      <c r="M84" s="12" t="n">
        <v>1.891</v>
      </c>
      <c r="N84" s="10" t="inlineStr">
        <is>
          <t>per gibibyte</t>
        </is>
      </c>
    </row>
    <row r="85">
      <c r="A85" s="10" t="inlineStr">
        <is>
          <t>GCP</t>
        </is>
      </c>
      <c r="B85" s="10" t="inlineStr">
        <is>
          <t>Cloud Run</t>
        </is>
      </c>
      <c r="C85" s="10" t="inlineStr">
        <is>
          <t>152E-C115-5142</t>
        </is>
      </c>
      <c r="D85" s="10" t="inlineStr">
        <is>
          <t>9B46-8DDB-2AC8</t>
        </is>
      </c>
      <c r="E85" s="10" t="inlineStr">
        <is>
          <t>Cloud Run Network Inter Region Data Transfer Out Intercontinental (Excl Oceania)</t>
        </is>
      </c>
      <c r="F85" s="10" t="inlineStr">
        <is>
          <t>Default</t>
        </is>
      </c>
      <c r="G85" s="10" t="inlineStr">
        <is>
          <t>GCP &gt; Network &gt; Egress &gt; Cloud Run &gt; Inter-region</t>
        </is>
      </c>
      <c r="H85" s="10" t="inlineStr">
        <is>
          <t>gibibyte</t>
        </is>
      </c>
      <c r="I85" s="11" t="n">
        <v>1</v>
      </c>
      <c r="J85" s="11" t="n">
        <v>0</v>
      </c>
      <c r="K85" s="12" t="n">
        <v>0</v>
      </c>
      <c r="L85" s="10" t="inlineStr">
        <is>
          <t>Network / egress</t>
        </is>
      </c>
      <c r="M85" s="12" t="n">
        <v>0</v>
      </c>
      <c r="N85" s="10" t="inlineStr">
        <is>
          <t>per gibibyte</t>
        </is>
      </c>
    </row>
    <row r="86">
      <c r="A86" s="10" t="inlineStr">
        <is>
          <t>GCP</t>
        </is>
      </c>
      <c r="B86" s="10" t="inlineStr">
        <is>
          <t>Cloud Run</t>
        </is>
      </c>
      <c r="C86" s="10" t="inlineStr">
        <is>
          <t>152E-C115-5142</t>
        </is>
      </c>
      <c r="D86" s="10" t="inlineStr">
        <is>
          <t>9B46-8DDB-2AC8</t>
        </is>
      </c>
      <c r="E86" s="10" t="inlineStr">
        <is>
          <t>Cloud Run Network Inter Region Data Transfer Out Intercontinental (Excl Oceania)</t>
        </is>
      </c>
      <c r="F86" s="10" t="inlineStr">
        <is>
          <t>Default</t>
        </is>
      </c>
      <c r="G86" s="10" t="inlineStr">
        <is>
          <t>GCP &gt; Network &gt; Egress &gt; Cloud Run &gt; Inter-region</t>
        </is>
      </c>
      <c r="H86" s="10" t="inlineStr">
        <is>
          <t>gibibyte</t>
        </is>
      </c>
      <c r="I86" s="11" t="n">
        <v>1</v>
      </c>
      <c r="J86" s="11" t="n">
        <v>1</v>
      </c>
      <c r="K86" s="12" t="n">
        <v>7.564</v>
      </c>
      <c r="L86" s="10" t="inlineStr">
        <is>
          <t>Network / egress</t>
        </is>
      </c>
      <c r="M86" s="12" t="n">
        <v>7.564</v>
      </c>
      <c r="N86" s="10" t="inlineStr">
        <is>
          <t>per gibibyte</t>
        </is>
      </c>
    </row>
    <row r="87">
      <c r="A87" s="10" t="inlineStr">
        <is>
          <t>GCP</t>
        </is>
      </c>
      <c r="B87" s="10" t="inlineStr">
        <is>
          <t>Cloud Run</t>
        </is>
      </c>
      <c r="C87" s="10" t="inlineStr">
        <is>
          <t>152E-C115-5142</t>
        </is>
      </c>
      <c r="D87" s="10" t="inlineStr">
        <is>
          <t>E262-332F-1474</t>
        </is>
      </c>
      <c r="E87" s="10" t="inlineStr">
        <is>
          <t>Cloud Run Network Inter Region Data Transfer Out North America to North America</t>
        </is>
      </c>
      <c r="F87" s="10" t="inlineStr">
        <is>
          <t>Default</t>
        </is>
      </c>
      <c r="G87" s="10" t="inlineStr">
        <is>
          <t>GCP &gt; Network &gt; Egress &gt; Cloud Run &gt; Inter-region</t>
        </is>
      </c>
      <c r="H87" s="10" t="inlineStr">
        <is>
          <t>gibibyte</t>
        </is>
      </c>
      <c r="I87" s="11" t="n">
        <v>1</v>
      </c>
      <c r="J87" s="11" t="n">
        <v>0</v>
      </c>
      <c r="K87" s="12" t="n">
        <v>0</v>
      </c>
      <c r="L87" s="10" t="inlineStr">
        <is>
          <t>Network / egress</t>
        </is>
      </c>
      <c r="M87" s="12" t="n">
        <v>0</v>
      </c>
      <c r="N87" s="10" t="inlineStr">
        <is>
          <t>per gibibyte</t>
        </is>
      </c>
    </row>
    <row r="88">
      <c r="A88" s="10" t="inlineStr">
        <is>
          <t>GCP</t>
        </is>
      </c>
      <c r="B88" s="10" t="inlineStr">
        <is>
          <t>Cloud Run</t>
        </is>
      </c>
      <c r="C88" s="10" t="inlineStr">
        <is>
          <t>152E-C115-5142</t>
        </is>
      </c>
      <c r="D88" s="10" t="inlineStr">
        <is>
          <t>E262-332F-1474</t>
        </is>
      </c>
      <c r="E88" s="10" t="inlineStr">
        <is>
          <t>Cloud Run Network Inter Region Data Transfer Out North America to North America</t>
        </is>
      </c>
      <c r="F88" s="10" t="inlineStr">
        <is>
          <t>Default</t>
        </is>
      </c>
      <c r="G88" s="10" t="inlineStr">
        <is>
          <t>GCP &gt; Network &gt; Egress &gt; Cloud Run &gt; Inter-region</t>
        </is>
      </c>
      <c r="H88" s="10" t="inlineStr">
        <is>
          <t>gibibyte</t>
        </is>
      </c>
      <c r="I88" s="11" t="n">
        <v>1</v>
      </c>
      <c r="J88" s="11" t="n">
        <v>1</v>
      </c>
      <c r="K88" s="12" t="n">
        <v>0.9455</v>
      </c>
      <c r="L88" s="10" t="inlineStr">
        <is>
          <t>Network / egress</t>
        </is>
      </c>
      <c r="M88" s="12" t="n">
        <v>0.9455</v>
      </c>
      <c r="N88" s="10" t="inlineStr">
        <is>
          <t>per gibibyte</t>
        </is>
      </c>
    </row>
    <row r="89">
      <c r="A89" s="10" t="inlineStr">
        <is>
          <t>GCP</t>
        </is>
      </c>
      <c r="B89" s="10" t="inlineStr">
        <is>
          <t>Cloud Run</t>
        </is>
      </c>
      <c r="C89" s="10" t="inlineStr">
        <is>
          <t>152E-C115-5142</t>
        </is>
      </c>
      <c r="D89" s="10" t="inlineStr">
        <is>
          <t>DBAA-7594-B9FA</t>
        </is>
      </c>
      <c r="E89" s="10" t="inlineStr">
        <is>
          <t>Cloud Run Network Internet Data Transfer Out Intercontinental (Excl Oceania, Africa and China)</t>
        </is>
      </c>
      <c r="F89" s="10" t="inlineStr">
        <is>
          <t>Default</t>
        </is>
      </c>
      <c r="G89" s="10" t="inlineStr">
        <is>
          <t>GCP &gt; Network &gt; Egress &gt; Cloud Run</t>
        </is>
      </c>
      <c r="H89" s="10" t="inlineStr">
        <is>
          <t>gibibyte</t>
        </is>
      </c>
      <c r="I89" s="11" t="n">
        <v>1</v>
      </c>
      <c r="J89" s="11" t="n">
        <v>0</v>
      </c>
      <c r="K89" s="12" t="n">
        <v>11.346</v>
      </c>
      <c r="L89" s="10" t="inlineStr">
        <is>
          <t>Network / egress</t>
        </is>
      </c>
      <c r="M89" s="12" t="n">
        <v>11.346</v>
      </c>
      <c r="N89" s="10" t="inlineStr">
        <is>
          <t>per gibibyte</t>
        </is>
      </c>
    </row>
    <row r="90">
      <c r="A90" s="10" t="inlineStr">
        <is>
          <t>GCP</t>
        </is>
      </c>
      <c r="B90" s="10" t="inlineStr">
        <is>
          <t>Cloud Run</t>
        </is>
      </c>
      <c r="C90" s="10" t="inlineStr">
        <is>
          <t>152E-C115-5142</t>
        </is>
      </c>
      <c r="D90" s="10" t="inlineStr">
        <is>
          <t>DBAA-7594-B9FA</t>
        </is>
      </c>
      <c r="E90" s="10" t="inlineStr">
        <is>
          <t>Cloud Run Network Internet Data Transfer Out Intercontinental (Excl Oceania, Africa and China)</t>
        </is>
      </c>
      <c r="F90" s="10" t="inlineStr">
        <is>
          <t>Default</t>
        </is>
      </c>
      <c r="G90" s="10" t="inlineStr">
        <is>
          <t>GCP &gt; Network &gt; Egress &gt; Cloud Run</t>
        </is>
      </c>
      <c r="H90" s="10" t="inlineStr">
        <is>
          <t>gibibyte</t>
        </is>
      </c>
      <c r="I90" s="11" t="n">
        <v>1</v>
      </c>
      <c r="J90" s="11" t="n">
        <v>10240</v>
      </c>
      <c r="K90" s="12" t="n">
        <v>8.03675</v>
      </c>
      <c r="L90" s="10" t="inlineStr">
        <is>
          <t>Network / egress</t>
        </is>
      </c>
      <c r="M90" s="12" t="n">
        <v>8.03675</v>
      </c>
      <c r="N90" s="10" t="inlineStr">
        <is>
          <t>per gibibyte</t>
        </is>
      </c>
    </row>
    <row r="91">
      <c r="A91" s="10" t="inlineStr">
        <is>
          <t>GCP</t>
        </is>
      </c>
      <c r="B91" s="10" t="inlineStr">
        <is>
          <t>Cloud Run</t>
        </is>
      </c>
      <c r="C91" s="10" t="inlineStr">
        <is>
          <t>152E-C115-5142</t>
        </is>
      </c>
      <c r="D91" s="10" t="inlineStr">
        <is>
          <t>DBAA-7594-B9FA</t>
        </is>
      </c>
      <c r="E91" s="10" t="inlineStr">
        <is>
          <t>Cloud Run Network Internet Data Transfer Out Intercontinental (Excl Oceania, Africa and China)</t>
        </is>
      </c>
      <c r="F91" s="10" t="inlineStr">
        <is>
          <t>Default</t>
        </is>
      </c>
      <c r="G91" s="10" t="inlineStr">
        <is>
          <t>GCP &gt; Network &gt; Egress &gt; Cloud Run</t>
        </is>
      </c>
      <c r="H91" s="10" t="inlineStr">
        <is>
          <t>gibibyte</t>
        </is>
      </c>
      <c r="I91" s="11" t="n">
        <v>1</v>
      </c>
      <c r="J91" s="11" t="n">
        <v>153600</v>
      </c>
      <c r="K91" s="12" t="n">
        <v>7.564</v>
      </c>
      <c r="L91" s="10" t="inlineStr">
        <is>
          <t>Network / egress</t>
        </is>
      </c>
      <c r="M91" s="12" t="n">
        <v>7.564</v>
      </c>
      <c r="N91" s="10" t="inlineStr">
        <is>
          <t>per gibibyte</t>
        </is>
      </c>
    </row>
    <row r="92">
      <c r="A92" s="10" t="inlineStr">
        <is>
          <t>GCP</t>
        </is>
      </c>
      <c r="B92" s="10" t="inlineStr">
        <is>
          <t>Cloud Run</t>
        </is>
      </c>
      <c r="C92" s="10" t="inlineStr">
        <is>
          <t>152E-C115-5142</t>
        </is>
      </c>
      <c r="D92" s="10" t="inlineStr">
        <is>
          <t>DF75-E5D2-F9DB</t>
        </is>
      </c>
      <c r="E92" s="10" t="inlineStr">
        <is>
          <t>Cloud Run Network Internet Data Transfer Out Intercontinental from/to Oceania</t>
        </is>
      </c>
      <c r="F92" s="10" t="inlineStr">
        <is>
          <t>Default</t>
        </is>
      </c>
      <c r="G92" s="10" t="inlineStr">
        <is>
          <t>GCP &gt; Network &gt; Egress &gt; Cloud Run</t>
        </is>
      </c>
      <c r="H92" s="10" t="inlineStr">
        <is>
          <t>gibibyte</t>
        </is>
      </c>
      <c r="I92" s="11" t="n">
        <v>1</v>
      </c>
      <c r="J92" s="11" t="n">
        <v>0</v>
      </c>
      <c r="K92" s="12" t="n">
        <v>17.9645</v>
      </c>
      <c r="L92" s="10" t="inlineStr">
        <is>
          <t>Network / egress</t>
        </is>
      </c>
      <c r="M92" s="12" t="n">
        <v>17.9645</v>
      </c>
      <c r="N92" s="10" t="inlineStr">
        <is>
          <t>per gibibyte</t>
        </is>
      </c>
    </row>
    <row r="93">
      <c r="A93" s="10" t="inlineStr">
        <is>
          <t>GCP</t>
        </is>
      </c>
      <c r="B93" s="10" t="inlineStr">
        <is>
          <t>Cloud Run</t>
        </is>
      </c>
      <c r="C93" s="10" t="inlineStr">
        <is>
          <t>152E-C115-5142</t>
        </is>
      </c>
      <c r="D93" s="10" t="inlineStr">
        <is>
          <t>DF75-E5D2-F9DB</t>
        </is>
      </c>
      <c r="E93" s="10" t="inlineStr">
        <is>
          <t>Cloud Run Network Internet Data Transfer Out Intercontinental from/to Oceania</t>
        </is>
      </c>
      <c r="F93" s="10" t="inlineStr">
        <is>
          <t>Default</t>
        </is>
      </c>
      <c r="G93" s="10" t="inlineStr">
        <is>
          <t>GCP &gt; Network &gt; Egress &gt; Cloud Run</t>
        </is>
      </c>
      <c r="H93" s="10" t="inlineStr">
        <is>
          <t>gibibyte</t>
        </is>
      </c>
      <c r="I93" s="11" t="n">
        <v>1</v>
      </c>
      <c r="J93" s="11" t="n">
        <v>10240</v>
      </c>
      <c r="K93" s="12" t="n">
        <v>15.128</v>
      </c>
      <c r="L93" s="10" t="inlineStr">
        <is>
          <t>Network / egress</t>
        </is>
      </c>
      <c r="M93" s="12" t="n">
        <v>15.128</v>
      </c>
      <c r="N93" s="10" t="inlineStr">
        <is>
          <t>per gibibyte</t>
        </is>
      </c>
    </row>
    <row r="94">
      <c r="A94" s="10" t="inlineStr">
        <is>
          <t>GCP</t>
        </is>
      </c>
      <c r="B94" s="10" t="inlineStr">
        <is>
          <t>Cloud Run</t>
        </is>
      </c>
      <c r="C94" s="10" t="inlineStr">
        <is>
          <t>152E-C115-5142</t>
        </is>
      </c>
      <c r="D94" s="10" t="inlineStr">
        <is>
          <t>DF75-E5D2-F9DB</t>
        </is>
      </c>
      <c r="E94" s="10" t="inlineStr">
        <is>
          <t>Cloud Run Network Internet Data Transfer Out Intercontinental from/to Oceania</t>
        </is>
      </c>
      <c r="F94" s="10" t="inlineStr">
        <is>
          <t>Default</t>
        </is>
      </c>
      <c r="G94" s="10" t="inlineStr">
        <is>
          <t>GCP &gt; Network &gt; Egress &gt; Cloud Run</t>
        </is>
      </c>
      <c r="H94" s="10" t="inlineStr">
        <is>
          <t>gibibyte</t>
        </is>
      </c>
      <c r="I94" s="11" t="n">
        <v>1</v>
      </c>
      <c r="J94" s="11" t="n">
        <v>153600</v>
      </c>
      <c r="K94" s="12" t="n">
        <v>14.1825</v>
      </c>
      <c r="L94" s="10" t="inlineStr">
        <is>
          <t>Network / egress</t>
        </is>
      </c>
      <c r="M94" s="12" t="n">
        <v>14.1825</v>
      </c>
      <c r="N94" s="10" t="inlineStr">
        <is>
          <t>per gibibyte</t>
        </is>
      </c>
    </row>
    <row r="95">
      <c r="A95" s="10" t="inlineStr">
        <is>
          <t>GCP</t>
        </is>
      </c>
      <c r="B95" s="10" t="inlineStr">
        <is>
          <t>Cloud Run</t>
        </is>
      </c>
      <c r="C95" s="10" t="inlineStr">
        <is>
          <t>152E-C115-5142</t>
        </is>
      </c>
      <c r="D95" s="10" t="inlineStr">
        <is>
          <t>DDFD-AE42-E219</t>
        </is>
      </c>
      <c r="E95" s="10" t="inlineStr">
        <is>
          <t>Cloud Run Network Internet Data Transfer Out North America to North America</t>
        </is>
      </c>
      <c r="F95" s="10" t="inlineStr">
        <is>
          <t>Default</t>
        </is>
      </c>
      <c r="G95" s="10" t="inlineStr">
        <is>
          <t>GCP &gt; Network &gt; Egress &gt; Cloud Run</t>
        </is>
      </c>
      <c r="H95" s="10" t="inlineStr">
        <is>
          <t>gibibyte</t>
        </is>
      </c>
      <c r="I95" s="11" t="n">
        <v>1</v>
      </c>
      <c r="J95" s="11" t="n">
        <v>0</v>
      </c>
      <c r="K95" s="12" t="n">
        <v>0</v>
      </c>
      <c r="L95" s="10" t="inlineStr">
        <is>
          <t>Network / egress</t>
        </is>
      </c>
      <c r="M95" s="12" t="n">
        <v>0</v>
      </c>
      <c r="N95" s="10" t="inlineStr">
        <is>
          <t>per gibibyte</t>
        </is>
      </c>
    </row>
    <row r="96">
      <c r="A96" s="10" t="inlineStr">
        <is>
          <t>GCP</t>
        </is>
      </c>
      <c r="B96" s="10" t="inlineStr">
        <is>
          <t>Cloud Run</t>
        </is>
      </c>
      <c r="C96" s="10" t="inlineStr">
        <is>
          <t>152E-C115-5142</t>
        </is>
      </c>
      <c r="D96" s="10" t="inlineStr">
        <is>
          <t>DDFD-AE42-E219</t>
        </is>
      </c>
      <c r="E96" s="10" t="inlineStr">
        <is>
          <t>Cloud Run Network Internet Data Transfer Out North America to North America</t>
        </is>
      </c>
      <c r="F96" s="10" t="inlineStr">
        <is>
          <t>Default</t>
        </is>
      </c>
      <c r="G96" s="10" t="inlineStr">
        <is>
          <t>GCP &gt; Network &gt; Egress &gt; Cloud Run</t>
        </is>
      </c>
      <c r="H96" s="10" t="inlineStr">
        <is>
          <t>gibibyte</t>
        </is>
      </c>
      <c r="I96" s="11" t="n">
        <v>1</v>
      </c>
      <c r="J96" s="11" t="n">
        <v>1</v>
      </c>
      <c r="K96" s="12" t="n">
        <v>9.92775</v>
      </c>
      <c r="L96" s="10" t="inlineStr">
        <is>
          <t>Network / egress</t>
        </is>
      </c>
      <c r="M96" s="12" t="n">
        <v>9.92775</v>
      </c>
      <c r="N96" s="10" t="inlineStr">
        <is>
          <t>per gibibyte</t>
        </is>
      </c>
    </row>
    <row r="97">
      <c r="A97" s="10" t="inlineStr">
        <is>
          <t>GCP</t>
        </is>
      </c>
      <c r="B97" s="10" t="inlineStr">
        <is>
          <t>Cloud Run</t>
        </is>
      </c>
      <c r="C97" s="10" t="inlineStr">
        <is>
          <t>152E-C115-5142</t>
        </is>
      </c>
      <c r="D97" s="10" t="inlineStr">
        <is>
          <t>DDFD-AE42-E219</t>
        </is>
      </c>
      <c r="E97" s="10" t="inlineStr">
        <is>
          <t>Cloud Run Network Internet Data Transfer Out North America to North America</t>
        </is>
      </c>
      <c r="F97" s="10" t="inlineStr">
        <is>
          <t>Default</t>
        </is>
      </c>
      <c r="G97" s="10" t="inlineStr">
        <is>
          <t>GCP &gt; Network &gt; Egress &gt; Cloud Run</t>
        </is>
      </c>
      <c r="H97" s="10" t="inlineStr">
        <is>
          <t>gibibyte</t>
        </is>
      </c>
      <c r="I97" s="11" t="n">
        <v>1</v>
      </c>
      <c r="J97" s="11" t="n">
        <v>10240</v>
      </c>
      <c r="K97" s="12" t="n">
        <v>7.564</v>
      </c>
      <c r="L97" s="10" t="inlineStr">
        <is>
          <t>Network / egress</t>
        </is>
      </c>
      <c r="M97" s="12" t="n">
        <v>7.564</v>
      </c>
      <c r="N97" s="10" t="inlineStr">
        <is>
          <t>per gibibyte</t>
        </is>
      </c>
    </row>
    <row r="98">
      <c r="A98" s="10" t="inlineStr">
        <is>
          <t>GCP</t>
        </is>
      </c>
      <c r="B98" s="10" t="inlineStr">
        <is>
          <t>Cloud Run</t>
        </is>
      </c>
      <c r="C98" s="10" t="inlineStr">
        <is>
          <t>152E-C115-5142</t>
        </is>
      </c>
      <c r="D98" s="10" t="inlineStr">
        <is>
          <t>DDFD-AE42-E219</t>
        </is>
      </c>
      <c r="E98" s="10" t="inlineStr">
        <is>
          <t>Cloud Run Network Internet Data Transfer Out North America to North America</t>
        </is>
      </c>
      <c r="F98" s="10" t="inlineStr">
        <is>
          <t>Default</t>
        </is>
      </c>
      <c r="G98" s="10" t="inlineStr">
        <is>
          <t>GCP &gt; Network &gt; Egress &gt; Cloud Run</t>
        </is>
      </c>
      <c r="H98" s="10" t="inlineStr">
        <is>
          <t>gibibyte</t>
        </is>
      </c>
      <c r="I98" s="11" t="n">
        <v>1</v>
      </c>
      <c r="J98" s="11" t="n">
        <v>153600</v>
      </c>
      <c r="K98" s="12" t="n">
        <v>5.673</v>
      </c>
      <c r="L98" s="10" t="inlineStr">
        <is>
          <t>Network / egress</t>
        </is>
      </c>
      <c r="M98" s="12" t="n">
        <v>5.673</v>
      </c>
      <c r="N98" s="10" t="inlineStr">
        <is>
          <t>per gibibyte</t>
        </is>
      </c>
    </row>
    <row r="99">
      <c r="A99" s="10" t="inlineStr">
        <is>
          <t>GCP</t>
        </is>
      </c>
      <c r="B99" s="10" t="inlineStr">
        <is>
          <t>Cloud Run</t>
        </is>
      </c>
      <c r="C99" s="10" t="inlineStr">
        <is>
          <t>152E-C115-5142</t>
        </is>
      </c>
      <c r="D99" s="10" t="inlineStr">
        <is>
          <t>EF10-B23A-2545</t>
        </is>
      </c>
      <c r="E99" s="10" t="inlineStr">
        <is>
          <t>Cloud Run Network Intra Region Data Transfer</t>
        </is>
      </c>
      <c r="F99" s="10" t="inlineStr">
        <is>
          <t>Default</t>
        </is>
      </c>
      <c r="G99" s="10" t="inlineStr">
        <is>
          <t>GCP &gt; Network &gt; Egress &gt; Cloud Run &gt; Intra-region</t>
        </is>
      </c>
      <c r="H99" s="10" t="inlineStr">
        <is>
          <t>gibibyte</t>
        </is>
      </c>
      <c r="I99" s="11" t="n">
        <v>1</v>
      </c>
      <c r="J99" s="11" t="n">
        <v>0</v>
      </c>
      <c r="K99" s="12" t="n">
        <v>0</v>
      </c>
      <c r="L99" s="10" t="inlineStr">
        <is>
          <t>Network / egress</t>
        </is>
      </c>
      <c r="M99" s="12" t="n">
        <v>0</v>
      </c>
      <c r="N99" s="10" t="inlineStr">
        <is>
          <t>per gibibyte</t>
        </is>
      </c>
    </row>
    <row r="100">
      <c r="A100" s="10" t="inlineStr">
        <is>
          <t>GCP</t>
        </is>
      </c>
      <c r="B100" s="10" t="inlineStr">
        <is>
          <t>Cloud Run</t>
        </is>
      </c>
      <c r="C100" s="10" t="inlineStr">
        <is>
          <t>152E-C115-5142</t>
        </is>
      </c>
      <c r="D100" s="10" t="inlineStr">
        <is>
          <t>2DA5-55D3-E679</t>
        </is>
      </c>
      <c r="E100" s="10" t="inlineStr">
        <is>
          <t>Requests</t>
        </is>
      </c>
      <c r="F100" s="10" t="inlineStr">
        <is>
          <t>Compute Flexible CUD - 3 Year</t>
        </is>
      </c>
      <c r="G100" s="10" t="inlineStr">
        <is>
          <t>GCP &gt; Serverless &gt; Cloud Run &gt; Other</t>
        </is>
      </c>
      <c r="H100" s="10" t="inlineStr">
        <is>
          <t>count</t>
        </is>
      </c>
      <c r="I100" s="11" t="n">
        <v>1000000</v>
      </c>
      <c r="J100" s="11" t="n">
        <v>0</v>
      </c>
      <c r="K100" s="12" t="n">
        <v>0</v>
      </c>
      <c r="L100" s="10" t="inlineStr">
        <is>
          <t>Requests / operations</t>
        </is>
      </c>
      <c r="M100" s="12" t="n">
        <v>0</v>
      </c>
      <c r="N100" s="10" t="inlineStr">
        <is>
          <t>per 1,000,000 count</t>
        </is>
      </c>
    </row>
    <row r="101">
      <c r="A101" s="10" t="inlineStr">
        <is>
          <t>GCP</t>
        </is>
      </c>
      <c r="B101" s="10" t="inlineStr">
        <is>
          <t>Cloud Run</t>
        </is>
      </c>
      <c r="C101" s="10" t="inlineStr">
        <is>
          <t>152E-C115-5142</t>
        </is>
      </c>
      <c r="D101" s="10" t="inlineStr">
        <is>
          <t>2DA5-55D3-E679</t>
        </is>
      </c>
      <c r="E101" s="10" t="inlineStr">
        <is>
          <t>Requests</t>
        </is>
      </c>
      <c r="F101" s="10" t="inlineStr">
        <is>
          <t>Compute Flexible CUD - 3 Year</t>
        </is>
      </c>
      <c r="G101" s="10" t="inlineStr">
        <is>
          <t>GCP &gt; Serverless &gt; Cloud Run &gt; Other</t>
        </is>
      </c>
      <c r="H101" s="10" t="inlineStr">
        <is>
          <t>count</t>
        </is>
      </c>
      <c r="I101" s="11" t="n">
        <v>1000000</v>
      </c>
      <c r="J101" s="11" t="n">
        <v>2000000</v>
      </c>
      <c r="K101" s="12" t="n">
        <v>31.390600001</v>
      </c>
      <c r="L101" s="10" t="inlineStr">
        <is>
          <t>Requests / operations</t>
        </is>
      </c>
      <c r="M101" s="12" t="n">
        <v>31.390600001</v>
      </c>
      <c r="N101" s="10" t="inlineStr">
        <is>
          <t>per 1,000,000 count</t>
        </is>
      </c>
    </row>
    <row r="102">
      <c r="A102" s="10" t="inlineStr">
        <is>
          <t>GCP</t>
        </is>
      </c>
      <c r="B102" s="10" t="inlineStr">
        <is>
          <t>Cloud Run</t>
        </is>
      </c>
      <c r="C102" s="10" t="inlineStr">
        <is>
          <t>152E-C115-5142</t>
        </is>
      </c>
      <c r="D102" s="10" t="inlineStr">
        <is>
          <t>2DA5-55D3-E679</t>
        </is>
      </c>
      <c r="E102" s="10" t="inlineStr">
        <is>
          <t>Requests</t>
        </is>
      </c>
      <c r="F102" s="10" t="inlineStr">
        <is>
          <t>Default</t>
        </is>
      </c>
      <c r="G102" s="10" t="inlineStr">
        <is>
          <t>GCP &gt; Serverless &gt; Cloud Run &gt; Other</t>
        </is>
      </c>
      <c r="H102" s="10" t="inlineStr">
        <is>
          <t>count</t>
        </is>
      </c>
      <c r="I102" s="11" t="n">
        <v>1000000</v>
      </c>
      <c r="J102" s="11" t="n">
        <v>0</v>
      </c>
      <c r="K102" s="12" t="n">
        <v>0</v>
      </c>
      <c r="L102" s="10" t="inlineStr">
        <is>
          <t>Requests / operations</t>
        </is>
      </c>
      <c r="M102" s="12" t="n">
        <v>0</v>
      </c>
      <c r="N102" s="10" t="inlineStr">
        <is>
          <t>per 1,000,000 count</t>
        </is>
      </c>
    </row>
    <row r="103">
      <c r="A103" s="10" t="inlineStr">
        <is>
          <t>GCP</t>
        </is>
      </c>
      <c r="B103" s="10" t="inlineStr">
        <is>
          <t>Cloud Run</t>
        </is>
      </c>
      <c r="C103" s="10" t="inlineStr">
        <is>
          <t>152E-C115-5142</t>
        </is>
      </c>
      <c r="D103" s="10" t="inlineStr">
        <is>
          <t>2DA5-55D3-E679</t>
        </is>
      </c>
      <c r="E103" s="10" t="inlineStr">
        <is>
          <t>Requests</t>
        </is>
      </c>
      <c r="F103" s="10" t="inlineStr">
        <is>
          <t>Default</t>
        </is>
      </c>
      <c r="G103" s="10" t="inlineStr">
        <is>
          <t>GCP &gt; Serverless &gt; Cloud Run &gt; Other</t>
        </is>
      </c>
      <c r="H103" s="10" t="inlineStr">
        <is>
          <t>count</t>
        </is>
      </c>
      <c r="I103" s="11" t="n">
        <v>1000000</v>
      </c>
      <c r="J103" s="11" t="n">
        <v>2000000</v>
      </c>
      <c r="K103" s="12" t="n">
        <v>37.820000001</v>
      </c>
      <c r="L103" s="10" t="inlineStr">
        <is>
          <t>Requests / operations</t>
        </is>
      </c>
      <c r="M103" s="12" t="n">
        <v>37.820000001</v>
      </c>
      <c r="N103" s="10" t="inlineStr">
        <is>
          <t>per 1,000,000 count</t>
        </is>
      </c>
    </row>
    <row r="104">
      <c r="A104" s="10" t="inlineStr">
        <is>
          <t>GCP</t>
        </is>
      </c>
      <c r="B104" s="10" t="inlineStr">
        <is>
          <t>Cloud Run</t>
        </is>
      </c>
      <c r="C104" s="10" t="inlineStr">
        <is>
          <t>152E-C115-5142</t>
        </is>
      </c>
      <c r="D104" s="10" t="inlineStr">
        <is>
          <t>2DA5-55D3-E679</t>
        </is>
      </c>
      <c r="E104" s="10" t="inlineStr">
        <is>
          <t>Requests</t>
        </is>
      </c>
      <c r="F104" s="10" t="inlineStr">
        <is>
          <t>Cloud Run CUD - 3 Year</t>
        </is>
      </c>
      <c r="G104" s="10" t="inlineStr">
        <is>
          <t>GCP &gt; Serverless &gt; Cloud Run &gt; Other</t>
        </is>
      </c>
      <c r="H104" s="10" t="inlineStr">
        <is>
          <t>count</t>
        </is>
      </c>
      <c r="I104" s="11" t="n">
        <v>1000000</v>
      </c>
      <c r="J104" s="11" t="n">
        <v>0</v>
      </c>
      <c r="K104" s="12" t="n">
        <v>0</v>
      </c>
      <c r="L104" s="10" t="inlineStr">
        <is>
          <t>Requests / operations</t>
        </is>
      </c>
      <c r="M104" s="12" t="n">
        <v>0</v>
      </c>
      <c r="N104" s="10" t="inlineStr">
        <is>
          <t>per 1,000,000 count</t>
        </is>
      </c>
    </row>
    <row r="105">
      <c r="A105" s="10" t="inlineStr">
        <is>
          <t>GCP</t>
        </is>
      </c>
      <c r="B105" s="10" t="inlineStr">
        <is>
          <t>Cloud Run</t>
        </is>
      </c>
      <c r="C105" s="10" t="inlineStr">
        <is>
          <t>152E-C115-5142</t>
        </is>
      </c>
      <c r="D105" s="10" t="inlineStr">
        <is>
          <t>2DA5-55D3-E679</t>
        </is>
      </c>
      <c r="E105" s="10" t="inlineStr">
        <is>
          <t>Requests</t>
        </is>
      </c>
      <c r="F105" s="10" t="inlineStr">
        <is>
          <t>Cloud Run CUD - 3 Year</t>
        </is>
      </c>
      <c r="G105" s="10" t="inlineStr">
        <is>
          <t>GCP &gt; Serverless &gt; Cloud Run &gt; Other</t>
        </is>
      </c>
      <c r="H105" s="10" t="inlineStr">
        <is>
          <t>count</t>
        </is>
      </c>
      <c r="I105" s="11" t="n">
        <v>1000000</v>
      </c>
      <c r="J105" s="11" t="n">
        <v>2000000</v>
      </c>
      <c r="K105" s="12" t="n">
        <v>31.390600001</v>
      </c>
      <c r="L105" s="10" t="inlineStr">
        <is>
          <t>Requests / operations</t>
        </is>
      </c>
      <c r="M105" s="12" t="n">
        <v>31.390600001</v>
      </c>
      <c r="N105" s="10" t="inlineStr">
        <is>
          <t>per 1,000,000 count</t>
        </is>
      </c>
    </row>
    <row r="106">
      <c r="A106" s="10" t="inlineStr">
        <is>
          <t>GCP</t>
        </is>
      </c>
      <c r="B106" s="10" t="inlineStr">
        <is>
          <t>Cloud Run</t>
        </is>
      </c>
      <c r="C106" s="10" t="inlineStr">
        <is>
          <t>152E-C115-5142</t>
        </is>
      </c>
      <c r="D106" s="10" t="inlineStr">
        <is>
          <t>2DA5-55D3-E679</t>
        </is>
      </c>
      <c r="E106" s="10" t="inlineStr">
        <is>
          <t>Requests</t>
        </is>
      </c>
      <c r="F106" s="10" t="inlineStr">
        <is>
          <t>Cloud Run CUD - 1 Year</t>
        </is>
      </c>
      <c r="G106" s="10" t="inlineStr">
        <is>
          <t>GCP &gt; Serverless &gt; Cloud Run &gt; Other</t>
        </is>
      </c>
      <c r="H106" s="10" t="inlineStr">
        <is>
          <t>count</t>
        </is>
      </c>
      <c r="I106" s="11" t="n">
        <v>1000000</v>
      </c>
      <c r="J106" s="11" t="n">
        <v>0</v>
      </c>
      <c r="K106" s="12" t="n">
        <v>0</v>
      </c>
      <c r="L106" s="10" t="inlineStr">
        <is>
          <t>Requests / operations</t>
        </is>
      </c>
      <c r="M106" s="12" t="n">
        <v>0</v>
      </c>
      <c r="N106" s="10" t="inlineStr">
        <is>
          <t>per 1,000,000 count</t>
        </is>
      </c>
    </row>
    <row r="107">
      <c r="A107" s="10" t="inlineStr">
        <is>
          <t>GCP</t>
        </is>
      </c>
      <c r="B107" s="10" t="inlineStr">
        <is>
          <t>Cloud Run</t>
        </is>
      </c>
      <c r="C107" s="10" t="inlineStr">
        <is>
          <t>152E-C115-5142</t>
        </is>
      </c>
      <c r="D107" s="10" t="inlineStr">
        <is>
          <t>2DA5-55D3-E679</t>
        </is>
      </c>
      <c r="E107" s="10" t="inlineStr">
        <is>
          <t>Requests</t>
        </is>
      </c>
      <c r="F107" s="10" t="inlineStr">
        <is>
          <t>Cloud Run CUD - 1 Year</t>
        </is>
      </c>
      <c r="G107" s="10" t="inlineStr">
        <is>
          <t>GCP &gt; Serverless &gt; Cloud Run &gt; Other</t>
        </is>
      </c>
      <c r="H107" s="10" t="inlineStr">
        <is>
          <t>count</t>
        </is>
      </c>
      <c r="I107" s="11" t="n">
        <v>1000000</v>
      </c>
      <c r="J107" s="11" t="n">
        <v>2000000</v>
      </c>
      <c r="K107" s="12" t="n">
        <v>31.390600001</v>
      </c>
      <c r="L107" s="10" t="inlineStr">
        <is>
          <t>Requests / operations</t>
        </is>
      </c>
      <c r="M107" s="12" t="n">
        <v>31.390600001</v>
      </c>
      <c r="N107" s="10" t="inlineStr">
        <is>
          <t>per 1,000,000 count</t>
        </is>
      </c>
    </row>
    <row r="108">
      <c r="A108" s="10" t="inlineStr">
        <is>
          <t>GCP</t>
        </is>
      </c>
      <c r="B108" s="10" t="inlineStr">
        <is>
          <t>Cloud Run</t>
        </is>
      </c>
      <c r="C108" s="10" t="inlineStr">
        <is>
          <t>152E-C115-5142</t>
        </is>
      </c>
      <c r="D108" s="10" t="inlineStr">
        <is>
          <t>2DA5-55D3-E679</t>
        </is>
      </c>
      <c r="E108" s="10" t="inlineStr">
        <is>
          <t>Requests</t>
        </is>
      </c>
      <c r="F108" s="10" t="inlineStr">
        <is>
          <t>Compute Flexible CUD - 1 Year</t>
        </is>
      </c>
      <c r="G108" s="10" t="inlineStr">
        <is>
          <t>GCP &gt; Serverless &gt; Cloud Run &gt; Other</t>
        </is>
      </c>
      <c r="H108" s="10" t="inlineStr">
        <is>
          <t>count</t>
        </is>
      </c>
      <c r="I108" s="11" t="n">
        <v>1000000</v>
      </c>
      <c r="J108" s="11" t="n">
        <v>0</v>
      </c>
      <c r="K108" s="12" t="n">
        <v>0</v>
      </c>
      <c r="L108" s="10" t="inlineStr">
        <is>
          <t>Requests / operations</t>
        </is>
      </c>
      <c r="M108" s="12" t="n">
        <v>0</v>
      </c>
      <c r="N108" s="10" t="inlineStr">
        <is>
          <t>per 1,000,000 count</t>
        </is>
      </c>
    </row>
    <row r="109">
      <c r="A109" s="10" t="inlineStr">
        <is>
          <t>GCP</t>
        </is>
      </c>
      <c r="B109" s="10" t="inlineStr">
        <is>
          <t>Cloud Run</t>
        </is>
      </c>
      <c r="C109" s="10" t="inlineStr">
        <is>
          <t>152E-C115-5142</t>
        </is>
      </c>
      <c r="D109" s="10" t="inlineStr">
        <is>
          <t>2DA5-55D3-E679</t>
        </is>
      </c>
      <c r="E109" s="10" t="inlineStr">
        <is>
          <t>Requests</t>
        </is>
      </c>
      <c r="F109" s="10" t="inlineStr">
        <is>
          <t>Compute Flexible CUD - 1 Year</t>
        </is>
      </c>
      <c r="G109" s="10" t="inlineStr">
        <is>
          <t>GCP &gt; Serverless &gt; Cloud Run &gt; Other</t>
        </is>
      </c>
      <c r="H109" s="10" t="inlineStr">
        <is>
          <t>count</t>
        </is>
      </c>
      <c r="I109" s="11" t="n">
        <v>1000000</v>
      </c>
      <c r="J109" s="11" t="n">
        <v>2000000</v>
      </c>
      <c r="K109" s="12" t="n">
        <v>31.390600001</v>
      </c>
      <c r="L109" s="10" t="inlineStr">
        <is>
          <t>Requests / operations</t>
        </is>
      </c>
      <c r="M109" s="12" t="n">
        <v>31.390600001</v>
      </c>
      <c r="N109" s="10" t="inlineStr">
        <is>
          <t>per 1,000,000 count</t>
        </is>
      </c>
    </row>
    <row r="110">
      <c r="A110" s="10" t="inlineStr">
        <is>
          <t>GCP</t>
        </is>
      </c>
      <c r="B110" s="10" t="inlineStr">
        <is>
          <t>Secret Manager</t>
        </is>
      </c>
      <c r="C110" s="10" t="inlineStr">
        <is>
          <t>EE82-7A5E-871C</t>
        </is>
      </c>
      <c r="D110" s="10" t="inlineStr">
        <is>
          <t>EBA7-264F-2D2C</t>
        </is>
      </c>
      <c r="E110" s="10" t="inlineStr">
        <is>
          <t>Secret access operations</t>
        </is>
      </c>
      <c r="F110" s="10" t="inlineStr">
        <is>
          <t>Default</t>
        </is>
      </c>
      <c r="G110" s="10" t="inlineStr">
        <is>
          <t>GCP &gt; Cloud Security &gt; Cloud Security - Other &gt; Other Security Platform &gt; Other Platform &gt; Secret Manager &gt; Other</t>
        </is>
      </c>
      <c r="H110" s="10" t="inlineStr">
        <is>
          <t>count</t>
        </is>
      </c>
      <c r="I110" s="11" t="n">
        <v>10000</v>
      </c>
      <c r="J110" s="11" t="n">
        <v>0</v>
      </c>
      <c r="K110" s="12" t="n">
        <v>0</v>
      </c>
      <c r="L110" s="10" t="inlineStr">
        <is>
          <t>Requests / operations</t>
        </is>
      </c>
      <c r="M110" s="12" t="n">
        <v>0</v>
      </c>
      <c r="N110" s="10" t="inlineStr">
        <is>
          <t>per 10,000 count</t>
        </is>
      </c>
    </row>
    <row r="111">
      <c r="A111" s="10" t="inlineStr">
        <is>
          <t>GCP</t>
        </is>
      </c>
      <c r="B111" s="10" t="inlineStr">
        <is>
          <t>Secret Manager</t>
        </is>
      </c>
      <c r="C111" s="10" t="inlineStr">
        <is>
          <t>EE82-7A5E-871C</t>
        </is>
      </c>
      <c r="D111" s="10" t="inlineStr">
        <is>
          <t>EBA7-264F-2D2C</t>
        </is>
      </c>
      <c r="E111" s="10" t="inlineStr">
        <is>
          <t>Secret access operations</t>
        </is>
      </c>
      <c r="F111" s="10" t="inlineStr">
        <is>
          <t>Default</t>
        </is>
      </c>
      <c r="G111" s="10" t="inlineStr">
        <is>
          <t>GCP &gt; Cloud Security &gt; Cloud Security - Other &gt; Other Security Platform &gt; Other Platform &gt; Secret Manager &gt; Other</t>
        </is>
      </c>
      <c r="H111" s="10" t="inlineStr">
        <is>
          <t>count</t>
        </is>
      </c>
      <c r="I111" s="11" t="n">
        <v>10000</v>
      </c>
      <c r="J111" s="11" t="n">
        <v>10000</v>
      </c>
      <c r="K111" s="12" t="n">
        <v>2.8365</v>
      </c>
      <c r="L111" s="10" t="inlineStr">
        <is>
          <t>Requests / operations</t>
        </is>
      </c>
      <c r="M111" s="12" t="n">
        <v>2.8365</v>
      </c>
      <c r="N111" s="10" t="inlineStr">
        <is>
          <t>per 10,000 count</t>
        </is>
      </c>
    </row>
    <row r="112">
      <c r="A112" s="10" t="inlineStr">
        <is>
          <t>GCP</t>
        </is>
      </c>
      <c r="B112" s="10" t="inlineStr">
        <is>
          <t>Secret Manager</t>
        </is>
      </c>
      <c r="C112" s="10" t="inlineStr">
        <is>
          <t>EE82-7A5E-871C</t>
        </is>
      </c>
      <c r="D112" s="10" t="inlineStr">
        <is>
          <t>7756-ADEF-84F4</t>
        </is>
      </c>
      <c r="E112" s="10" t="inlineStr">
        <is>
          <t>Secret version replica storage</t>
        </is>
      </c>
      <c r="F112" s="10" t="inlineStr">
        <is>
          <t>Default</t>
        </is>
      </c>
      <c r="G112" s="10" t="inlineStr">
        <is>
          <t>GCP &gt; Cloud Security &gt; Cloud Security - Other &gt; Other Security Platform &gt; Other Platform &gt; Secret Manager &gt; Other</t>
        </is>
      </c>
      <c r="H112" s="10" t="inlineStr">
        <is>
          <t>month</t>
        </is>
      </c>
      <c r="I112" s="11" t="n">
        <v>1</v>
      </c>
      <c r="J112" s="11" t="n">
        <v>0</v>
      </c>
      <c r="K112" s="12" t="n">
        <v>0</v>
      </c>
      <c r="L112" s="10" t="inlineStr">
        <is>
          <t>Storage / retention</t>
        </is>
      </c>
      <c r="M112" s="12" t="n">
        <v>0</v>
      </c>
      <c r="N112" s="10" t="inlineStr">
        <is>
          <t>per month</t>
        </is>
      </c>
    </row>
    <row r="113">
      <c r="A113" s="10" t="inlineStr">
        <is>
          <t>GCP</t>
        </is>
      </c>
      <c r="B113" s="10" t="inlineStr">
        <is>
          <t>Secret Manager</t>
        </is>
      </c>
      <c r="C113" s="10" t="inlineStr">
        <is>
          <t>EE82-7A5E-871C</t>
        </is>
      </c>
      <c r="D113" s="10" t="inlineStr">
        <is>
          <t>7756-ADEF-84F4</t>
        </is>
      </c>
      <c r="E113" s="10" t="inlineStr">
        <is>
          <t>Secret version replica storage</t>
        </is>
      </c>
      <c r="F113" s="10" t="inlineStr">
        <is>
          <t>Default</t>
        </is>
      </c>
      <c r="G113" s="10" t="inlineStr">
        <is>
          <t>GCP &gt; Cloud Security &gt; Cloud Security - Other &gt; Other Security Platform &gt; Other Platform &gt; Secret Manager &gt; Other</t>
        </is>
      </c>
      <c r="H113" s="10" t="inlineStr">
        <is>
          <t>month</t>
        </is>
      </c>
      <c r="I113" s="11" t="n">
        <v>1</v>
      </c>
      <c r="J113" s="11" t="n">
        <v>6</v>
      </c>
      <c r="K113" s="12" t="n">
        <v>5.673</v>
      </c>
      <c r="L113" s="10" t="inlineStr">
        <is>
          <t>Storage / retention</t>
        </is>
      </c>
      <c r="M113" s="12" t="n">
        <v>5.673</v>
      </c>
      <c r="N113" s="10" t="inlineStr">
        <is>
          <t>per month</t>
        </is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52" customWidth="1" min="5" max="5"/>
  </cols>
  <sheetData>
    <row r="1" ht="28" customHeight="1">
      <c r="A1" s="1" t="inlineStr">
        <is>
          <t>Checks</t>
        </is>
      </c>
    </row>
    <row r="2" ht="32" customHeight="1">
      <c r="A2" s="2" t="inlineStr">
        <is>
          <t>Basic workbook integrity checks.</t>
        </is>
      </c>
    </row>
    <row r="3">
      <c r="A3" s="9" t="inlineStr">
        <is>
          <t>Check</t>
        </is>
      </c>
      <c r="B3" s="9" t="inlineStr">
        <is>
          <t>Actual</t>
        </is>
      </c>
      <c r="C3" s="9" t="inlineStr">
        <is>
          <t>Expected</t>
        </is>
      </c>
      <c r="D3" s="9" t="inlineStr">
        <is>
          <t>OK?</t>
        </is>
      </c>
      <c r="E3" s="9" t="inlineStr">
        <is>
          <t>Notes</t>
        </is>
      </c>
    </row>
    <row r="4">
      <c r="A4" s="10" t="inlineStr">
        <is>
          <t>Source rows loaded</t>
        </is>
      </c>
      <c r="B4" s="10" t="n">
        <v>109</v>
      </c>
      <c r="C4" s="10" t="n">
        <v>109</v>
      </c>
      <c r="D4" s="21">
        <f>B4=C4</f>
        <v/>
      </c>
      <c r="E4" s="10" t="inlineStr">
        <is>
          <t>Rows should match the converted source table.</t>
        </is>
      </c>
    </row>
    <row r="5">
      <c r="A5" s="10" t="inlineStr">
        <is>
          <t>Unique SKUs present</t>
        </is>
      </c>
      <c r="B5" s="10" t="n">
        <v>46</v>
      </c>
      <c r="C5" s="10" t="n">
        <v>46</v>
      </c>
      <c r="D5" s="21">
        <f>B5=C5</f>
        <v/>
      </c>
      <c r="E5" s="10" t="inlineStr">
        <is>
          <t>Guard against empty SKU extraction.</t>
        </is>
      </c>
    </row>
    <row r="6">
      <c r="A6" s="10" t="inlineStr">
        <is>
          <t>Estimator rows</t>
        </is>
      </c>
      <c r="B6" s="10" t="n">
        <v>77</v>
      </c>
      <c r="C6" s="10" t="n">
        <v>77</v>
      </c>
      <c r="D6" s="21">
        <f>B6=C6</f>
        <v/>
      </c>
      <c r="E6" s="10" t="inlineStr">
        <is>
          <t>Estimator uses Default model rows only.</t>
        </is>
      </c>
    </row>
    <row r="7">
      <c r="A7" s="10" t="inlineStr">
        <is>
          <t>Usage input rows</t>
        </is>
      </c>
      <c r="B7" s="10" t="n">
        <v>46</v>
      </c>
      <c r="C7" s="10" t="n">
        <v>46</v>
      </c>
      <c r="D7" s="21">
        <f>B7=C7</f>
        <v/>
      </c>
      <c r="E7" s="10" t="inlineStr">
        <is>
          <t>One usage input per Default SKU.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2026-05-01T19:10:18Z</dcterms:created>
  <dcterms:modified xmlns:dcterms="http://purl.org/dc/terms/" xmlns:xsi="http://www.w3.org/2001/XMLSchema-instance" xsi:type="dcterms:W3CDTF">2026-05-01T19:10:18Z</dcterms:modified>
</cp:coreProperties>
</file>